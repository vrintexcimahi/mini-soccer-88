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8 ALPHA SPORT FILES\SEPTEMBER 2026\"/>
    </mc:Choice>
  </mc:AlternateContent>
  <xr:revisionPtr revIDLastSave="0" documentId="13_ncr:1_{A94A337B-0B9C-4A69-99C4-E588EE092EBA}" xr6:coauthVersionLast="47" xr6:coauthVersionMax="47" xr10:uidLastSave="{00000000-0000-0000-0000-000000000000}"/>
  <bookViews>
    <workbookView xWindow="-120" yWindow="-120" windowWidth="20730" windowHeight="11160" tabRatio="815" activeTab="5" xr2:uid="{90A52B18-2110-431F-9934-63A595674989}"/>
  </bookViews>
  <sheets>
    <sheet name="01-06 SEP 2026" sheetId="1" r:id="rId1"/>
    <sheet name="07-13 SEP 2026" sheetId="5" r:id="rId2"/>
    <sheet name="14-20 SEP 2026" sheetId="6" r:id="rId3"/>
    <sheet name="21-27 SEP 2026" sheetId="7" r:id="rId4"/>
    <sheet name="28-30 SEP 2026" sheetId="8" r:id="rId5"/>
    <sheet name="Sheet1" sheetId="9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1" i="9" l="1"/>
  <c r="G80" i="9"/>
  <c r="G79" i="9"/>
  <c r="G78" i="9"/>
  <c r="I78" i="9" s="1"/>
  <c r="G77" i="9"/>
  <c r="I77" i="9" s="1"/>
  <c r="G70" i="9"/>
  <c r="I70" i="9" s="1"/>
  <c r="G69" i="9"/>
  <c r="I69" i="9" s="1"/>
  <c r="G71" i="9"/>
  <c r="I71" i="9" s="1"/>
  <c r="L57" i="9"/>
  <c r="G61" i="9"/>
  <c r="I61" i="9" s="1"/>
  <c r="G60" i="9"/>
  <c r="I60" i="9" s="1"/>
  <c r="G59" i="9"/>
  <c r="I59" i="9" s="1"/>
  <c r="G58" i="9"/>
  <c r="I58" i="9" s="1"/>
  <c r="G57" i="9"/>
  <c r="I57" i="9" s="1"/>
  <c r="G56" i="9"/>
  <c r="I56" i="9" s="1"/>
  <c r="G55" i="9"/>
  <c r="I55" i="9" s="1"/>
  <c r="G54" i="9"/>
  <c r="I54" i="9" s="1"/>
  <c r="G53" i="9"/>
  <c r="I53" i="9" s="1"/>
  <c r="G52" i="9"/>
  <c r="I52" i="9" s="1"/>
  <c r="G44" i="9"/>
  <c r="I44" i="9" s="1"/>
  <c r="G43" i="9"/>
  <c r="I43" i="9" s="1"/>
  <c r="G42" i="9"/>
  <c r="I42" i="9" s="1"/>
  <c r="G41" i="9"/>
  <c r="I41" i="9" s="1"/>
  <c r="G29" i="9"/>
  <c r="I29" i="9" s="1"/>
  <c r="G30" i="9"/>
  <c r="I30" i="9" s="1"/>
  <c r="G31" i="9"/>
  <c r="I31" i="9" s="1"/>
  <c r="G32" i="9"/>
  <c r="I32" i="9" s="1"/>
  <c r="G23" i="9"/>
  <c r="I23" i="9" s="1"/>
  <c r="G22" i="9"/>
  <c r="I22" i="9" s="1"/>
  <c r="G21" i="9"/>
  <c r="I21" i="9" s="1"/>
  <c r="G20" i="9"/>
  <c r="I20" i="9" s="1"/>
  <c r="G13" i="9"/>
  <c r="I13" i="9" s="1"/>
  <c r="G14" i="9"/>
  <c r="I14" i="9" s="1"/>
  <c r="G12" i="9"/>
  <c r="I12" i="9" s="1"/>
  <c r="G6" i="9"/>
  <c r="I6" i="9" s="1"/>
  <c r="G5" i="9"/>
  <c r="I5" i="9" s="1"/>
  <c r="I82" i="9" l="1"/>
  <c r="I72" i="9"/>
  <c r="I62" i="9"/>
  <c r="I63" i="9" s="1"/>
  <c r="I64" i="9" s="1"/>
  <c r="G62" i="9"/>
  <c r="I24" i="9"/>
  <c r="I45" i="9"/>
  <c r="I33" i="9"/>
  <c r="I36" i="9" s="1"/>
  <c r="I15" i="9"/>
  <c r="I7" i="9"/>
  <c r="I46" i="9" l="1"/>
  <c r="I47" i="9" s="1"/>
</calcChain>
</file>

<file path=xl/sharedStrings.xml><?xml version="1.0" encoding="utf-8"?>
<sst xmlns="http://schemas.openxmlformats.org/spreadsheetml/2006/main" count="540" uniqueCount="166">
  <si>
    <t>JAM</t>
  </si>
  <si>
    <t>SENIN</t>
  </si>
  <si>
    <t>SELASA</t>
  </si>
  <si>
    <t>RABU</t>
  </si>
  <si>
    <t>KAMIS</t>
  </si>
  <si>
    <t>JUM'AT</t>
  </si>
  <si>
    <t>SABTU</t>
  </si>
  <si>
    <t>MINGGU</t>
  </si>
  <si>
    <t>06.00-07.00</t>
  </si>
  <si>
    <t>07.00-08.00</t>
  </si>
  <si>
    <t>08.00-09.00</t>
  </si>
  <si>
    <t>09.00-10.00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</si>
  <si>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</si>
  <si>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</si>
  <si>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</si>
  <si>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</si>
  <si>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</si>
  <si>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</si>
  <si>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</si>
  <si>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</si>
  <si>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</si>
  <si>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</si>
  <si>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</si>
  <si>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</si>
  <si>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03</t>
  </si>
  <si>
    <t>04</t>
  </si>
  <si>
    <t>05</t>
  </si>
  <si>
    <t>LAPANGAN PUSDIKIF KOTA CIMAHI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</si>
  <si>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</si>
  <si>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</si>
  <si>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</si>
  <si>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</si>
  <si>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</si>
  <si>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</si>
  <si>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</si>
  <si>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</si>
  <si>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</si>
  <si>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</si>
  <si>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</si>
  <si>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</si>
  <si>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</si>
  <si>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</si>
  <si>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</si>
  <si>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</si>
  <si>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</si>
  <si>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</si>
  <si>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MINI SOCCER 88 ALPHA SPORT</t>
  </si>
  <si>
    <t xml:space="preserve">WEEKLY SCHEDULE </t>
  </si>
  <si>
    <t>WEEK I</t>
  </si>
  <si>
    <t>WEEK III</t>
  </si>
  <si>
    <t>WEEK II</t>
  </si>
  <si>
    <t>24</t>
  </si>
  <si>
    <t>25</t>
  </si>
  <si>
    <t>26</t>
  </si>
  <si>
    <t>27</t>
  </si>
  <si>
    <t>01</t>
  </si>
  <si>
    <t>02</t>
  </si>
  <si>
    <t>WOULES FC</t>
  </si>
  <si>
    <t>01-06</t>
  </si>
  <si>
    <t>14-20</t>
  </si>
  <si>
    <t>07-13</t>
  </si>
  <si>
    <t>SEP 2026</t>
  </si>
  <si>
    <t>21-27</t>
  </si>
  <si>
    <t>WAREHOUSE WARRIORS FC</t>
  </si>
  <si>
    <t>ENTOG FC</t>
  </si>
  <si>
    <t>WEEK IV</t>
  </si>
  <si>
    <t>28</t>
  </si>
  <si>
    <t>29</t>
  </si>
  <si>
    <t>30</t>
  </si>
  <si>
    <t>WEEK V</t>
  </si>
  <si>
    <t>28-30</t>
  </si>
  <si>
    <t>SOLIDARITAS FC</t>
  </si>
  <si>
    <t>PT. SIAP FC</t>
  </si>
  <si>
    <t>CITERS FC</t>
  </si>
  <si>
    <t>CKP JATAYU FC</t>
  </si>
  <si>
    <t>GREEONE FC</t>
  </si>
  <si>
    <t xml:space="preserve"> </t>
  </si>
  <si>
    <t>BLACK HORSE FC</t>
  </si>
  <si>
    <t>BIANDA FC</t>
  </si>
  <si>
    <t>BALBALAND RS DUSTIRA FC</t>
  </si>
  <si>
    <t>CIMAHI FOOTBALL ACADEMY</t>
  </si>
  <si>
    <t>WEEKEND PRODUKTIF FC</t>
  </si>
  <si>
    <t>BROTHERS FC</t>
  </si>
  <si>
    <t>CIBEUREUM BOY 3 FC</t>
  </si>
  <si>
    <t>GSE FC</t>
  </si>
  <si>
    <t>NW05 FC</t>
  </si>
  <si>
    <t>CNS PDL</t>
  </si>
  <si>
    <t>ULTRA JAYA FC</t>
  </si>
  <si>
    <t>ENSEVAL BANDUNG 2 FC</t>
  </si>
  <si>
    <t>FARIS07 BARBERSHOP FC</t>
  </si>
  <si>
    <t>TFO FC</t>
  </si>
  <si>
    <t>BAROSFORNIA LADS FC</t>
  </si>
  <si>
    <t>MARBAT FC</t>
  </si>
  <si>
    <t>PUSSEN ARHANUD FC</t>
  </si>
  <si>
    <t>NO</t>
  </si>
  <si>
    <t>HARI</t>
  </si>
  <si>
    <t>TGL</t>
  </si>
  <si>
    <t>MULAI</t>
  </si>
  <si>
    <t>SELESAI</t>
  </si>
  <si>
    <t>TROFEO CHAMPIONSHIP FC</t>
  </si>
  <si>
    <t>STARGAZER EXTRA FC</t>
  </si>
  <si>
    <t>NOU CAFE FC</t>
  </si>
  <si>
    <t>SPARTA FC</t>
  </si>
  <si>
    <t>KIRARI SPACE YOGA</t>
  </si>
  <si>
    <t>SENGKANAUNG FC</t>
  </si>
  <si>
    <t>TARIF</t>
  </si>
  <si>
    <t>DURASI</t>
  </si>
  <si>
    <t>TOTAL</t>
  </si>
  <si>
    <t>JUMLAH</t>
  </si>
  <si>
    <t>RENCANA BOOKING SANBE FC / P ANDRIE</t>
  </si>
  <si>
    <t>RENCANA BOOKING BROTHERS FC / P IGUN</t>
  </si>
  <si>
    <t>BARCA FC</t>
  </si>
  <si>
    <t>PODJOK FC</t>
  </si>
  <si>
    <t>WEAVING2 1A FC</t>
  </si>
  <si>
    <t>ARANS FC</t>
  </si>
  <si>
    <t>RENCANA BOOKING CENTRAL DISTRIBUTION FC / P OKKY</t>
  </si>
  <si>
    <t>ASSYAKAB FC</t>
  </si>
  <si>
    <t>ZGT BOYS FC</t>
  </si>
  <si>
    <t>LOYOR FC</t>
  </si>
  <si>
    <t>BRUINS FC</t>
  </si>
  <si>
    <t>PEGADAIAN FC</t>
  </si>
  <si>
    <t>PT. SIAP</t>
  </si>
  <si>
    <t>ASENG FC</t>
  </si>
  <si>
    <t>CENTRAL DISTRIBUTION FC</t>
  </si>
  <si>
    <t>VICTORIA KURAWA FC</t>
  </si>
  <si>
    <t>22.00-23.00</t>
  </si>
  <si>
    <t>GLADIATOR FC</t>
  </si>
  <si>
    <t>BRINGKAS FC</t>
  </si>
  <si>
    <t>FI FAMILY ARRADO FC</t>
  </si>
  <si>
    <t>SANG MANTAN FC</t>
  </si>
  <si>
    <t>RENCANA BOOKING WOULES FC / KANG NAPIS</t>
  </si>
  <si>
    <t>ADMIN</t>
  </si>
  <si>
    <t>DP</t>
  </si>
  <si>
    <t>SISA</t>
  </si>
  <si>
    <t>DALAPAN FC</t>
  </si>
  <si>
    <t>PESAT ACTIVE FC</t>
  </si>
  <si>
    <t>UMUM FC</t>
  </si>
  <si>
    <t>BUDAG BADUG FC</t>
  </si>
  <si>
    <t>PANGJAYA FC</t>
  </si>
  <si>
    <t>RANCAGE FC</t>
  </si>
  <si>
    <t>RENCANA BOOKING LOYOR FC / KANG ANGGI</t>
  </si>
  <si>
    <t>DISCOUNT 10%</t>
  </si>
  <si>
    <t>TOTAL BAYAR</t>
  </si>
  <si>
    <t>GAMATEX FC</t>
  </si>
  <si>
    <t>IGO FC</t>
  </si>
  <si>
    <t>PUSDIKBEKANG FC</t>
  </si>
  <si>
    <t>CNS PDL FC</t>
  </si>
  <si>
    <t>AJUL GEDANG FC</t>
  </si>
  <si>
    <t>MAN I KOTA CIMAHI FC</t>
  </si>
  <si>
    <t>KESDAM FC</t>
  </si>
  <si>
    <t>SSB ALEXIS FC</t>
  </si>
  <si>
    <t>CEPAT FC</t>
  </si>
  <si>
    <t>31</t>
  </si>
  <si>
    <t>DISKON 10%</t>
  </si>
  <si>
    <t>JUMLAH JAM</t>
  </si>
  <si>
    <t>JUMLAH NILAI</t>
  </si>
  <si>
    <t>SOLIDARITAS SPORT FC</t>
  </si>
  <si>
    <t>ALOKASI KHUSUS SLOT APOOKAT UNITED FC</t>
  </si>
  <si>
    <t>ALKINDO PUTRA FC</t>
  </si>
  <si>
    <t>SANBE YOGIE FC</t>
  </si>
  <si>
    <t>FIF CIMAHI FC</t>
  </si>
  <si>
    <t>STIKES DUSTIRA FC</t>
  </si>
  <si>
    <t>KULINER FC</t>
  </si>
  <si>
    <t>GUFI FC</t>
  </si>
  <si>
    <t>ALOKASI KHUSUS SLOT CENTRAL DISTRIBUTION FC</t>
  </si>
  <si>
    <t>JUMAT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</si>
</sst>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8"/>
      <color theme="1"/>
      <name val="Aptos"/>
      <family val="2"/>
    </font>
    <font>
      <b/>
      <sz val="36"/>
      <color theme="0"/>
      <name val="Aptos"/>
      <family val="2"/>
    </font>
    <font>
      <b/>
      <sz val="20"/>
      <color theme="0"/>
      <name val="Aptos"/>
      <family val="2"/>
    </font>
    <font>
      <b/>
      <sz val="18"/>
      <color theme="0"/>
      <name val="Aptos"/>
      <family val="2"/>
    </font>
    <font>
      <b/>
      <sz val="18"/>
      <name val="Aptos"/>
      <family val="2"/>
    </font>
    <font>
      <sz val="8"/>
      <name val="Calibri"/>
      <family val="2"/>
      <scheme val="minor"/>
    </font>
    <font>
      <b/>
      <sz val="28"/>
      <color theme="0"/>
      <name val="Aptos"/>
      <family val="2"/>
    </font>
    <font>
      <b/>
      <sz val="18"/>
      <color rgb="FFFF0000"/>
      <name val="Aptos"/>
      <family val="2"/>
    </font>
    <font>
      <b/>
      <sz val="16"/>
      <color rgb="FFFF0000"/>
      <name val="Aptos"/>
      <family val="2"/>
    </font>
    <font>
      <b/>
      <sz val="10"/>
      <color theme="0"/>
      <name val="Aptos"/>
      <family val="2"/>
    </font>
    <font>
      <b/>
      <sz val="12"/>
      <color theme="0"/>
      <name val="Aptos"/>
      <family val="2"/>
    </font>
    <font>
      <sz val="12"/>
      <color theme="1"/>
      <name val="Aptos"/>
      <family val="2"/>
    </font>
    <font>
      <b/>
      <sz val="12"/>
      <name val="Aptos"/>
      <family val="2"/>
    </font>
    <font>
      <b/>
      <sz val="12"/>
      <color rgb="FFFF0000"/>
      <name val="Aptos"/>
      <family val="2"/>
    </font>
    <font>
      <b/>
      <sz val="16"/>
      <color theme="0"/>
      <name val="Aptos"/>
      <family val="2"/>
    </font>
    <font>
      <b/>
      <sz val="12"/>
      <color theme="1"/>
      <name val="Aptos"/>
      <family val="2"/>
    </font>
    <font>
      <b/>
      <sz val="14"/>
      <color theme="0"/>
      <name val="Aptos"/>
      <family val="2"/>
    </font>
    <font>
      <b/>
      <sz val="11"/>
      <color theme="0"/>
      <name val="Aptos"/>
      <family val="2"/>
    </font>
    <font>
      <b/>
      <sz val="11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5" fillId="4" borderId="6" xfId="0" applyFont="1" applyFill="1" applyBorder="1" applyAlignment="1" applyProtection="1">
      <alignment horizontal="center" vertical="center"/>
      <protection locked="0"/>
    </xf>
    <xf numFmtId="0" fontId="5" fillId="4" borderId="7" xfId="0" applyFont="1" applyFill="1" applyBorder="1" applyAlignment="1" applyProtection="1">
      <alignment horizontal="center" vertical="center"/>
      <protection locked="0"/>
    </xf>
    <xf numFmtId="49" fontId="5" fillId="4" borderId="6" xfId="0" applyNumberFormat="1" applyFont="1" applyFill="1" applyBorder="1" applyAlignment="1" applyProtection="1">
      <alignment horizontal="center" vertical="center"/>
      <protection locked="0"/>
    </xf>
    <xf numFmtId="49" fontId="5" fillId="4" borderId="7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2" borderId="0" xfId="0" applyFont="1" applyFill="1"/>
    <xf numFmtId="49" fontId="3" fillId="3" borderId="7" xfId="0" applyNumberFormat="1" applyFont="1" applyFill="1" applyBorder="1" applyAlignment="1" applyProtection="1">
      <alignment horizontal="center" vertical="center"/>
      <protection locked="0"/>
    </xf>
    <xf numFmtId="49" fontId="4" fillId="6" borderId="6" xfId="0" applyNumberFormat="1" applyFont="1" applyFill="1" applyBorder="1" applyAlignment="1" applyProtection="1">
      <alignment horizontal="center" vertical="center" wrapText="1"/>
      <protection locked="0"/>
    </xf>
    <xf numFmtId="49" fontId="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8" fillId="2" borderId="7" xfId="0" applyNumberFormat="1" applyFont="1" applyFill="1" applyBorder="1" applyAlignment="1" applyProtection="1">
      <alignment horizontal="center" vertical="center" wrapText="1"/>
      <protection locked="0"/>
    </xf>
    <xf numFmtId="49" fontId="9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/>
    <xf numFmtId="49" fontId="8" fillId="2" borderId="3" xfId="0" applyNumberFormat="1" applyFont="1" applyFill="1" applyBorder="1" applyAlignment="1" applyProtection="1">
      <alignment horizontal="center" vertical="center" wrapText="1"/>
      <protection locked="0"/>
    </xf>
    <xf numFmtId="49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4" fillId="7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49" fontId="11" fillId="3" borderId="7" xfId="0" applyNumberFormat="1" applyFont="1" applyFill="1" applyBorder="1" applyAlignment="1" applyProtection="1">
      <alignment horizontal="center" vertical="center"/>
      <protection locked="0"/>
    </xf>
    <xf numFmtId="0" fontId="13" fillId="4" borderId="6" xfId="0" applyFont="1" applyFill="1" applyBorder="1" applyAlignment="1" applyProtection="1">
      <alignment horizontal="center" vertical="center"/>
      <protection locked="0"/>
    </xf>
    <xf numFmtId="49" fontId="13" fillId="4" borderId="6" xfId="0" applyNumberFormat="1" applyFont="1" applyFill="1" applyBorder="1" applyAlignment="1" applyProtection="1">
      <alignment horizontal="center" vertical="center"/>
      <protection locked="0"/>
    </xf>
    <xf numFmtId="0" fontId="13" fillId="2" borderId="5" xfId="0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/>
    <xf numFmtId="0" fontId="13" fillId="2" borderId="2" xfId="0" applyFont="1" applyFill="1" applyBorder="1" applyAlignment="1" applyProtection="1">
      <alignment horizontal="center" vertical="center"/>
      <protection locked="0"/>
    </xf>
    <xf numFmtId="49" fontId="14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3" fillId="6" borderId="6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Border="1"/>
    <xf numFmtId="0" fontId="16" fillId="8" borderId="6" xfId="0" applyFont="1" applyFill="1" applyBorder="1" applyAlignment="1">
      <alignment horizontal="center" vertical="center"/>
    </xf>
    <xf numFmtId="42" fontId="12" fillId="0" borderId="0" xfId="0" applyNumberFormat="1" applyFont="1" applyAlignment="1">
      <alignment horizontal="center" vertical="center"/>
    </xf>
    <xf numFmtId="42" fontId="12" fillId="0" borderId="6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42" fontId="12" fillId="0" borderId="4" xfId="0" applyNumberFormat="1" applyFont="1" applyBorder="1" applyAlignment="1">
      <alignment horizontal="center" vertical="center"/>
    </xf>
    <xf numFmtId="42" fontId="12" fillId="0" borderId="16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2" fontId="12" fillId="0" borderId="3" xfId="0" applyNumberFormat="1" applyFont="1" applyBorder="1" applyAlignment="1">
      <alignment horizontal="center" vertical="center"/>
    </xf>
    <xf numFmtId="49" fontId="5" fillId="8" borderId="6" xfId="0" applyNumberFormat="1" applyFont="1" applyFill="1" applyBorder="1" applyAlignment="1" applyProtection="1">
      <alignment horizontal="center" vertical="center" wrapText="1"/>
      <protection locked="0"/>
    </xf>
    <xf numFmtId="49" fontId="15" fillId="7" borderId="6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7" xfId="0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2" fontId="12" fillId="0" borderId="17" xfId="0" applyNumberFormat="1" applyFont="1" applyBorder="1" applyAlignment="1">
      <alignment horizontal="center" vertical="center"/>
    </xf>
    <xf numFmtId="42" fontId="12" fillId="0" borderId="21" xfId="0" applyNumberFormat="1" applyFont="1" applyBorder="1" applyAlignment="1">
      <alignment horizontal="center" vertical="center"/>
    </xf>
    <xf numFmtId="42" fontId="12" fillId="0" borderId="24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42" fontId="12" fillId="0" borderId="19" xfId="0" applyNumberFormat="1" applyFont="1" applyBorder="1" applyAlignment="1">
      <alignment horizontal="center" vertical="center"/>
    </xf>
    <xf numFmtId="42" fontId="12" fillId="0" borderId="26" xfId="0" applyNumberFormat="1" applyFont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42" fontId="16" fillId="0" borderId="2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49" fontId="5" fillId="8" borderId="7" xfId="0" applyNumberFormat="1" applyFont="1" applyFill="1" applyBorder="1" applyAlignment="1" applyProtection="1">
      <alignment horizontal="center" vertical="center" wrapText="1"/>
      <protection locked="0"/>
    </xf>
    <xf numFmtId="49" fontId="4" fillId="7" borderId="3" xfId="0" applyNumberFormat="1" applyFont="1" applyFill="1" applyBorder="1" applyAlignment="1" applyProtection="1">
      <alignment horizontal="center" vertical="center" wrapText="1"/>
      <protection locked="0"/>
    </xf>
    <xf numFmtId="49" fontId="4" fillId="6" borderId="3" xfId="0" applyNumberFormat="1" applyFont="1" applyFill="1" applyBorder="1" applyAlignment="1" applyProtection="1">
      <alignment horizontal="center" vertical="center" wrapText="1"/>
      <protection locked="0"/>
    </xf>
    <xf numFmtId="49" fontId="4" fillId="7" borderId="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6" xfId="0" applyFont="1" applyBorder="1"/>
    <xf numFmtId="0" fontId="13" fillId="4" borderId="7" xfId="0" applyFont="1" applyFill="1" applyBorder="1" applyAlignment="1" applyProtection="1">
      <alignment horizontal="center" vertical="center"/>
      <protection locked="0"/>
    </xf>
    <xf numFmtId="49" fontId="13" fillId="4" borderId="7" xfId="0" applyNumberFormat="1" applyFont="1" applyFill="1" applyBorder="1" applyAlignment="1" applyProtection="1">
      <alignment horizontal="center" vertical="center"/>
      <protection locked="0"/>
    </xf>
    <xf numFmtId="49" fontId="14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7" xfId="0" applyFont="1" applyBorder="1"/>
    <xf numFmtId="49" fontId="14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4" fillId="6" borderId="7" xfId="0" applyNumberFormat="1" applyFont="1" applyFill="1" applyBorder="1" applyAlignment="1" applyProtection="1">
      <alignment horizontal="center" vertical="center" wrapText="1"/>
      <protection locked="0"/>
    </xf>
    <xf numFmtId="49" fontId="12" fillId="0" borderId="3" xfId="0" applyNumberFormat="1" applyFont="1" applyBorder="1" applyAlignment="1">
      <alignment horizontal="center" vertical="center"/>
    </xf>
    <xf numFmtId="42" fontId="16" fillId="0" borderId="7" xfId="0" applyNumberFormat="1" applyFont="1" applyBorder="1" applyAlignment="1">
      <alignment horizontal="center" vertical="center"/>
    </xf>
    <xf numFmtId="42" fontId="16" fillId="0" borderId="4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2" fontId="12" fillId="0" borderId="9" xfId="0" applyNumberFormat="1" applyFont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6" fillId="0" borderId="1" xfId="0" applyNumberFormat="1" applyFont="1" applyBorder="1" applyAlignment="1">
      <alignment horizontal="center" vertical="center"/>
    </xf>
    <xf numFmtId="49" fontId="3" fillId="7" borderId="6" xfId="0" applyNumberFormat="1" applyFont="1" applyFill="1" applyBorder="1" applyAlignment="1" applyProtection="1">
      <alignment horizontal="center" vertical="center" wrapText="1"/>
      <protection locked="0"/>
    </xf>
    <xf numFmtId="49" fontId="15" fillId="6" borderId="6" xfId="0" applyNumberFormat="1" applyFont="1" applyFill="1" applyBorder="1" applyAlignment="1" applyProtection="1">
      <alignment horizontal="center" vertical="center" wrapText="1"/>
      <protection locked="0"/>
    </xf>
    <xf numFmtId="49" fontId="10" fillId="9" borderId="6" xfId="0" applyNumberFormat="1" applyFont="1" applyFill="1" applyBorder="1" applyAlignment="1" applyProtection="1">
      <alignment horizontal="center" vertical="center" wrapText="1"/>
      <protection locked="0"/>
    </xf>
    <xf numFmtId="49" fontId="10" fillId="9" borderId="7" xfId="0" applyNumberFormat="1" applyFont="1" applyFill="1" applyBorder="1" applyAlignment="1" applyProtection="1">
      <alignment horizontal="center" vertical="center" wrapText="1"/>
      <protection locked="0"/>
    </xf>
    <xf numFmtId="49" fontId="4" fillId="9" borderId="6" xfId="0" applyNumberFormat="1" applyFont="1" applyFill="1" applyBorder="1" applyAlignment="1" applyProtection="1">
      <alignment horizontal="center" vertical="center" wrapText="1"/>
      <protection locked="0"/>
    </xf>
    <xf numFmtId="49" fontId="15" fillId="9" borderId="6" xfId="0" applyNumberFormat="1" applyFont="1" applyFill="1" applyBorder="1" applyAlignment="1" applyProtection="1">
      <alignment horizontal="center" vertical="center" wrapText="1"/>
      <protection locked="0"/>
    </xf>
    <xf numFmtId="49" fontId="3" fillId="9" borderId="7" xfId="0" applyNumberFormat="1" applyFont="1" applyFill="1" applyBorder="1" applyAlignment="1" applyProtection="1">
      <alignment horizontal="center" vertical="center" wrapText="1"/>
      <protection locked="0"/>
    </xf>
    <xf numFmtId="49" fontId="18" fillId="9" borderId="6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8" xfId="0" applyFont="1" applyBorder="1" applyAlignment="1">
      <alignment horizontal="center" vertical="center"/>
    </xf>
    <xf numFmtId="42" fontId="12" fillId="0" borderId="18" xfId="0" applyNumberFormat="1" applyFont="1" applyBorder="1" applyAlignment="1">
      <alignment horizontal="center" vertical="center"/>
    </xf>
    <xf numFmtId="42" fontId="12" fillId="0" borderId="32" xfId="0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2" fontId="14" fillId="0" borderId="6" xfId="0" applyNumberFormat="1" applyFont="1" applyBorder="1" applyAlignment="1">
      <alignment horizontal="center" vertical="center"/>
    </xf>
    <xf numFmtId="42" fontId="14" fillId="0" borderId="7" xfId="0" applyNumberFormat="1" applyFont="1" applyBorder="1" applyAlignment="1">
      <alignment horizontal="center" vertical="center"/>
    </xf>
    <xf numFmtId="49" fontId="17" fillId="7" borderId="7" xfId="0" applyNumberFormat="1" applyFont="1" applyFill="1" applyBorder="1" applyAlignment="1" applyProtection="1">
      <alignment horizontal="center" vertical="center" wrapText="1"/>
      <protection locked="0"/>
    </xf>
    <xf numFmtId="42" fontId="16" fillId="0" borderId="23" xfId="0" applyNumberFormat="1" applyFont="1" applyBorder="1" applyAlignment="1">
      <alignment horizontal="center" vertical="center"/>
    </xf>
    <xf numFmtId="0" fontId="5" fillId="0" borderId="7" xfId="0" applyFont="1" applyBorder="1"/>
    <xf numFmtId="49" fontId="15" fillId="6" borderId="3" xfId="0" applyNumberFormat="1" applyFont="1" applyFill="1" applyBorder="1" applyAlignment="1" applyProtection="1">
      <alignment horizontal="center" vertical="center" wrapText="1"/>
      <protection locked="0"/>
    </xf>
    <xf numFmtId="49" fontId="15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8" xfId="0" applyFont="1" applyFill="1" applyBorder="1" applyAlignment="1" applyProtection="1">
      <alignment horizontal="center" vertical="center"/>
      <protection locked="0"/>
    </xf>
    <xf numFmtId="0" fontId="7" fillId="5" borderId="9" xfId="0" applyFont="1" applyFill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 applyProtection="1">
      <alignment horizontal="center" vertical="center"/>
      <protection locked="0"/>
    </xf>
    <xf numFmtId="0" fontId="2" fillId="5" borderId="6" xfId="0" applyFont="1" applyFill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 applyProtection="1">
      <alignment horizontal="center" vertical="center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5" borderId="6" xfId="0" applyFont="1" applyFill="1" applyBorder="1" applyAlignment="1" applyProtection="1">
      <alignment horizontal="center" vertical="center"/>
      <protection locked="0"/>
    </xf>
    <xf numFmtId="0" fontId="13" fillId="4" borderId="5" xfId="0" applyFont="1" applyFill="1" applyBorder="1" applyAlignment="1" applyProtection="1">
      <alignment horizontal="center" vertical="center"/>
      <protection locked="0"/>
    </xf>
    <xf numFmtId="0" fontId="11" fillId="5" borderId="8" xfId="0" applyFont="1" applyFill="1" applyBorder="1" applyAlignment="1" applyProtection="1">
      <alignment horizontal="center" vertical="center"/>
      <protection locked="0"/>
    </xf>
    <xf numFmtId="0" fontId="11" fillId="5" borderId="9" xfId="0" applyFont="1" applyFill="1" applyBorder="1" applyAlignment="1" applyProtection="1">
      <alignment horizontal="center" vertical="center"/>
      <protection locked="0"/>
    </xf>
    <xf numFmtId="0" fontId="11" fillId="5" borderId="5" xfId="0" applyFont="1" applyFill="1" applyBorder="1" applyAlignment="1" applyProtection="1">
      <alignment horizontal="center" vertical="center"/>
      <protection locked="0"/>
    </xf>
    <xf numFmtId="0" fontId="11" fillId="5" borderId="6" xfId="0" applyFont="1" applyFill="1" applyBorder="1" applyAlignment="1" applyProtection="1">
      <alignment horizontal="center" vertical="center"/>
      <protection locked="0"/>
    </xf>
    <xf numFmtId="49" fontId="16" fillId="0" borderId="22" xfId="0" applyNumberFormat="1" applyFont="1" applyBorder="1" applyAlignment="1">
      <alignment horizontal="right" vertical="center"/>
    </xf>
    <xf numFmtId="49" fontId="16" fillId="0" borderId="23" xfId="0" applyNumberFormat="1" applyFont="1" applyBorder="1" applyAlignment="1">
      <alignment horizontal="right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49" fontId="16" fillId="8" borderId="8" xfId="0" applyNumberFormat="1" applyFont="1" applyFill="1" applyBorder="1" applyAlignment="1">
      <alignment horizontal="center" vertical="center"/>
    </xf>
    <xf numFmtId="49" fontId="16" fillId="8" borderId="2" xfId="0" applyNumberFormat="1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42" fontId="16" fillId="8" borderId="9" xfId="0" applyNumberFormat="1" applyFont="1" applyFill="1" applyBorder="1" applyAlignment="1">
      <alignment horizontal="center" vertical="center"/>
    </xf>
    <xf numFmtId="42" fontId="16" fillId="8" borderId="3" xfId="0" applyNumberFormat="1" applyFont="1" applyFill="1" applyBorder="1" applyAlignment="1">
      <alignment horizontal="center" vertical="center"/>
    </xf>
    <xf numFmtId="42" fontId="16" fillId="8" borderId="1" xfId="0" applyNumberFormat="1" applyFont="1" applyFill="1" applyBorder="1" applyAlignment="1">
      <alignment horizontal="center" vertical="center"/>
    </xf>
    <xf numFmtId="42" fontId="16" fillId="8" borderId="4" xfId="0" applyNumberFormat="1" applyFont="1" applyFill="1" applyBorder="1" applyAlignment="1">
      <alignment horizontal="center" vertical="center"/>
    </xf>
    <xf numFmtId="42" fontId="16" fillId="0" borderId="28" xfId="0" applyNumberFormat="1" applyFont="1" applyBorder="1" applyAlignment="1">
      <alignment horizontal="center" vertical="center"/>
    </xf>
    <xf numFmtId="42" fontId="16" fillId="0" borderId="29" xfId="0" applyNumberFormat="1" applyFont="1" applyBorder="1" applyAlignment="1">
      <alignment horizontal="center" vertical="center"/>
    </xf>
    <xf numFmtId="42" fontId="16" fillId="0" borderId="30" xfId="0" applyNumberFormat="1" applyFont="1" applyBorder="1" applyAlignment="1">
      <alignment horizontal="center" vertical="center"/>
    </xf>
    <xf numFmtId="42" fontId="16" fillId="0" borderId="22" xfId="0" applyNumberFormat="1" applyFont="1" applyBorder="1" applyAlignment="1">
      <alignment horizontal="center" vertical="center"/>
    </xf>
    <xf numFmtId="42" fontId="16" fillId="0" borderId="23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3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18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2" fontId="16" fillId="0" borderId="8" xfId="0" applyNumberFormat="1" applyFont="1" applyBorder="1" applyAlignment="1">
      <alignment horizontal="center" vertical="center"/>
    </xf>
    <xf numFmtId="42" fontId="16" fillId="0" borderId="9" xfId="0" applyNumberFormat="1" applyFont="1" applyBorder="1" applyAlignment="1">
      <alignment horizontal="center" vertical="center"/>
    </xf>
    <xf numFmtId="42" fontId="16" fillId="0" borderId="5" xfId="0" applyNumberFormat="1" applyFont="1" applyBorder="1" applyAlignment="1">
      <alignment horizontal="center" vertical="center"/>
    </xf>
    <xf numFmtId="42" fontId="16" fillId="0" borderId="6" xfId="0" applyNumberFormat="1" applyFont="1" applyBorder="1" applyAlignment="1">
      <alignment horizontal="center" vertical="center"/>
    </xf>
    <xf numFmtId="42" fontId="16" fillId="0" borderId="2" xfId="0" applyNumberFormat="1" applyFont="1" applyBorder="1" applyAlignment="1">
      <alignment horizontal="center" vertical="center"/>
    </xf>
    <xf numFmtId="42" fontId="16" fillId="0" borderId="3" xfId="0" applyNumberFormat="1" applyFont="1" applyBorder="1" applyAlignment="1">
      <alignment horizontal="center" vertical="center"/>
    </xf>
    <xf numFmtId="49" fontId="16" fillId="8" borderId="5" xfId="0" applyNumberFormat="1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49" fontId="16" fillId="8" borderId="6" xfId="0" applyNumberFormat="1" applyFont="1" applyFill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2" fontId="16" fillId="8" borderId="6" xfId="0" applyNumberFormat="1" applyFont="1" applyFill="1" applyBorder="1" applyAlignment="1">
      <alignment horizontal="center" vertical="center"/>
    </xf>
    <xf numFmtId="42" fontId="16" fillId="8" borderId="7" xfId="0" applyNumberFormat="1" applyFont="1" applyFill="1" applyBorder="1" applyAlignment="1">
      <alignment horizontal="center" vertical="center"/>
    </xf>
    <xf numFmtId="42" fontId="12" fillId="0" borderId="13" xfId="0" applyNumberFormat="1" applyFont="1" applyBorder="1" applyAlignment="1">
      <alignment horizontal="center" vertical="center"/>
    </xf>
    <xf numFmtId="42" fontId="12" fillId="0" borderId="14" xfId="0" applyNumberFormat="1" applyFont="1" applyBorder="1" applyAlignment="1">
      <alignment horizontal="center" vertical="center"/>
    </xf>
    <xf numFmtId="42" fontId="12" fillId="0" borderId="15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42" fontId="12" fillId="0" borderId="22" xfId="0" applyNumberFormat="1" applyFont="1" applyBorder="1" applyAlignment="1">
      <alignment horizontal="center" vertical="center"/>
    </xf>
    <xf numFmtId="42" fontId="12" fillId="0" borderId="23" xfId="0" applyNumberFormat="1" applyFont="1" applyBorder="1" applyAlignment="1">
      <alignment horizontal="center" vertical="center"/>
    </xf>
    <xf numFmtId="49" fontId="16" fillId="0" borderId="30" xfId="0" applyNumberFormat="1" applyFont="1" applyBorder="1" applyAlignment="1">
      <alignment horizontal="right" vertical="center"/>
    </xf>
    <xf numFmtId="42" fontId="12" fillId="0" borderId="33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vertical="center"/>
    </xf>
    <xf numFmtId="0" fontId="19" fillId="0" borderId="34" xfId="0" applyFont="1" applyBorder="1" applyAlignment="1">
      <alignment horizontal="center" vertical="center"/>
    </xf>
    <xf numFmtId="42" fontId="16" fillId="8" borderId="35" xfId="0" applyNumberFormat="1" applyFont="1" applyFill="1" applyBorder="1" applyAlignment="1">
      <alignment horizontal="center" vertical="center"/>
    </xf>
    <xf numFmtId="42" fontId="16" fillId="8" borderId="36" xfId="0" applyNumberFormat="1" applyFont="1" applyFill="1" applyBorder="1" applyAlignment="1">
      <alignment horizontal="center" vertical="center"/>
    </xf>
    <xf numFmtId="42" fontId="12" fillId="0" borderId="37" xfId="0" applyNumberFormat="1" applyFont="1" applyBorder="1" applyAlignment="1">
      <alignment horizontal="center" vertical="center"/>
    </xf>
    <xf numFmtId="42" fontId="12" fillId="0" borderId="38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9" fontId="16" fillId="0" borderId="13" xfId="0" applyNumberFormat="1" applyFont="1" applyBorder="1" applyAlignment="1">
      <alignment horizontal="right" vertical="center"/>
    </xf>
    <xf numFmtId="49" fontId="16" fillId="0" borderId="14" xfId="0" applyNumberFormat="1" applyFont="1" applyBorder="1" applyAlignment="1">
      <alignment horizontal="right" vertical="center"/>
    </xf>
    <xf numFmtId="0" fontId="16" fillId="8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C7430"/>
      <color rgb="FFF8F8F8"/>
      <color rgb="FFA1B200"/>
      <color rgb="FF181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AF3A-4DCE-407B-B262-202B55A75A5C}">
  <dimension ref="B1:K31"/>
  <sheetViews>
    <sheetView zoomScale="55" zoomScaleNormal="55" workbookViewId="0">
      <pane xSplit="2" ySplit="6" topLeftCell="C19" activePane="bottomRight" state="frozen"/>
      <selection pane="topRight" activeCell="C1" sqref="C1"/>
      <selection pane="bottomLeft" activeCell="A6" sqref="A6"/>
      <selection pane="bottomRight" activeCell="E21" sqref="E21"/>
    </sheetView>
  </sheetViews>
  <sheetFormatPr defaultColWidth="24.28515625" defaultRowHeight="77.25" customHeight="1" x14ac:dyDescent="0.4"/>
  <cols>
    <col min="1" max="1" width="2.42578125" style="1" customWidth="1"/>
    <col min="2" max="3" width="24.28515625" style="3"/>
    <col min="4" max="6" width="24.28515625" style="1"/>
    <col min="7" max="7" width="23.140625" style="1" bestFit="1" customWidth="1"/>
    <col min="8" max="8" width="24.28515625" style="1"/>
    <col min="9" max="9" width="24.28515625" style="3"/>
    <col min="10" max="16384" width="24.28515625" style="1"/>
  </cols>
  <sheetData>
    <row r="1" spans="2:10" ht="24.75" thickBot="1" x14ac:dyDescent="0.45">
      <c r="B1" s="2"/>
      <c r="C1" s="2"/>
      <c r="D1" s="2"/>
      <c r="E1" s="2"/>
      <c r="F1" s="2"/>
      <c r="G1" s="2"/>
      <c r="H1" s="2"/>
      <c r="I1" s="2"/>
    </row>
    <row r="2" spans="2:10" ht="36" x14ac:dyDescent="0.4">
      <c r="B2" s="113" t="s">
        <v>46</v>
      </c>
      <c r="C2" s="114"/>
      <c r="D2" s="114"/>
      <c r="E2" s="114"/>
      <c r="F2" s="114"/>
      <c r="G2" s="114"/>
      <c r="H2" s="114"/>
      <c r="I2" s="6" t="s">
        <v>48</v>
      </c>
    </row>
    <row r="3" spans="2:10" ht="46.5" x14ac:dyDescent="0.4">
      <c r="B3" s="115" t="s">
        <v>47</v>
      </c>
      <c r="C3" s="116"/>
      <c r="D3" s="116"/>
      <c r="E3" s="116"/>
      <c r="F3" s="116"/>
      <c r="G3" s="116"/>
      <c r="H3" s="116"/>
      <c r="I3" s="14" t="s">
        <v>58</v>
      </c>
    </row>
    <row r="4" spans="2:10" ht="28.5" customHeight="1" x14ac:dyDescent="0.4">
      <c r="B4" s="118" t="s">
        <v>27</v>
      </c>
      <c r="C4" s="119"/>
      <c r="D4" s="119"/>
      <c r="E4" s="119"/>
      <c r="F4" s="119"/>
      <c r="G4" s="119"/>
      <c r="H4" s="119"/>
      <c r="I4" s="14" t="s">
        <v>61</v>
      </c>
    </row>
    <row r="5" spans="2:10" s="12" customFormat="1" ht="24" x14ac:dyDescent="0.4">
      <c r="B5" s="117" t="s">
        <v>0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8" t="s">
        <v>7</v>
      </c>
      <c r="J5" s="11"/>
    </row>
    <row r="6" spans="2:10" s="12" customFormat="1" ht="24" x14ac:dyDescent="0.4">
      <c r="B6" s="117"/>
      <c r="C6" s="7">
        <v>31</v>
      </c>
      <c r="D6" s="9" t="s">
        <v>55</v>
      </c>
      <c r="E6" s="9" t="s">
        <v>56</v>
      </c>
      <c r="F6" s="9" t="s">
        <v>24</v>
      </c>
      <c r="G6" s="9" t="s">
        <v>25</v>
      </c>
      <c r="H6" s="9" t="s">
        <v>26</v>
      </c>
      <c r="I6" s="10" t="s">
        <v>28</v>
      </c>
    </row>
    <row r="7" spans="2:10" s="12" customFormat="1" ht="77.25" customHeight="1" x14ac:dyDescent="0.4">
      <c r="B7" s="4" t="s">
        <v>8</v>
      </c>
      <c r="C7" s="33"/>
      <c r="D7" s="16"/>
      <c r="E7" s="16"/>
      <c r="F7" s="16"/>
      <c r="G7" s="16"/>
      <c r="H7" s="22" t="s">
        <v>83</v>
      </c>
      <c r="I7" s="72" t="s">
        <v>113</v>
      </c>
      <c r="J7" s="13"/>
    </row>
    <row r="8" spans="2:10" s="12" customFormat="1" ht="77.25" customHeight="1" x14ac:dyDescent="0.4">
      <c r="B8" s="4" t="s">
        <v>9</v>
      </c>
      <c r="C8" s="33"/>
      <c r="D8" s="16"/>
      <c r="E8" s="16"/>
      <c r="F8" s="16"/>
      <c r="G8" s="16"/>
      <c r="H8" s="22" t="s">
        <v>83</v>
      </c>
      <c r="I8" s="72" t="s">
        <v>113</v>
      </c>
      <c r="J8" s="13"/>
    </row>
    <row r="9" spans="2:10" s="12" customFormat="1" ht="77.25" customHeight="1" x14ac:dyDescent="0.4">
      <c r="B9" s="4" t="s">
        <v>10</v>
      </c>
      <c r="C9" s="33"/>
      <c r="D9" s="16"/>
      <c r="E9" s="16"/>
      <c r="F9" s="16"/>
      <c r="G9" s="16"/>
      <c r="H9" s="22" t="s">
        <v>100</v>
      </c>
      <c r="I9" s="72" t="s">
        <v>71</v>
      </c>
      <c r="J9" s="13"/>
    </row>
    <row r="10" spans="2:10" s="12" customFormat="1" ht="77.25" customHeight="1" x14ac:dyDescent="0.4">
      <c r="B10" s="4" t="s">
        <v>11</v>
      </c>
      <c r="C10" s="33"/>
      <c r="D10" s="16"/>
      <c r="E10" s="16"/>
      <c r="F10" s="39"/>
      <c r="G10" s="22" t="s">
        <v>102</v>
      </c>
      <c r="H10" s="22" t="s">
        <v>100</v>
      </c>
      <c r="I10" s="72" t="s">
        <v>71</v>
      </c>
      <c r="J10" s="13"/>
    </row>
    <row r="11" spans="2:10" s="12" customFormat="1" ht="77.25" customHeight="1" x14ac:dyDescent="0.4">
      <c r="B11" s="4" t="s">
        <v>12</v>
      </c>
      <c r="C11" s="33"/>
      <c r="D11" s="16"/>
      <c r="E11" s="16"/>
      <c r="F11" s="16"/>
      <c r="G11" s="22" t="s">
        <v>102</v>
      </c>
      <c r="H11" s="22" t="s">
        <v>127</v>
      </c>
      <c r="I11" s="17"/>
      <c r="J11" s="13"/>
    </row>
    <row r="12" spans="2:10" s="12" customFormat="1" ht="77.25" customHeight="1" x14ac:dyDescent="0.4">
      <c r="B12" s="4" t="s">
        <v>13</v>
      </c>
      <c r="C12" s="33"/>
      <c r="D12" s="16"/>
      <c r="E12" s="16"/>
      <c r="F12" s="16"/>
      <c r="G12" s="16"/>
      <c r="H12" s="16"/>
      <c r="I12" s="17"/>
      <c r="J12" s="13"/>
    </row>
    <row r="13" spans="2:10" s="12" customFormat="1" ht="77.25" customHeight="1" x14ac:dyDescent="0.4">
      <c r="B13" s="4" t="s">
        <v>14</v>
      </c>
      <c r="C13" s="33"/>
      <c r="D13" s="16"/>
      <c r="E13" s="16"/>
      <c r="F13" s="16"/>
      <c r="G13" s="16"/>
      <c r="H13" s="16" t="s">
        <v>76</v>
      </c>
      <c r="I13" s="17"/>
      <c r="J13" s="13"/>
    </row>
    <row r="14" spans="2:10" s="12" customFormat="1" ht="77.25" customHeight="1" x14ac:dyDescent="0.4">
      <c r="B14" s="4" t="s">
        <v>15</v>
      </c>
      <c r="C14" s="33"/>
      <c r="D14" s="16"/>
      <c r="E14" s="16"/>
      <c r="F14" s="16"/>
      <c r="G14" s="16"/>
      <c r="H14" s="16"/>
      <c r="I14" s="17"/>
      <c r="J14" s="13"/>
    </row>
    <row r="15" spans="2:10" s="12" customFormat="1" ht="77.25" customHeight="1" x14ac:dyDescent="0.4">
      <c r="B15" s="4" t="s">
        <v>16</v>
      </c>
      <c r="C15" s="33"/>
      <c r="D15" s="16"/>
      <c r="E15" s="16"/>
      <c r="F15" s="16"/>
      <c r="G15" s="16"/>
      <c r="H15" s="16"/>
      <c r="I15" s="17"/>
      <c r="J15" s="13"/>
    </row>
    <row r="16" spans="2:10" s="12" customFormat="1" ht="77.25" customHeight="1" x14ac:dyDescent="0.4">
      <c r="B16" s="4" t="s">
        <v>17</v>
      </c>
      <c r="C16" s="33"/>
      <c r="D16" s="22" t="s">
        <v>75</v>
      </c>
      <c r="E16" s="33"/>
      <c r="F16" s="16"/>
      <c r="G16" s="33"/>
      <c r="H16" s="22" t="s">
        <v>63</v>
      </c>
      <c r="I16" s="72" t="s">
        <v>77</v>
      </c>
      <c r="J16" s="13"/>
    </row>
    <row r="17" spans="2:11" s="12" customFormat="1" ht="77.25" customHeight="1" x14ac:dyDescent="0.4">
      <c r="B17" s="4" t="s">
        <v>18</v>
      </c>
      <c r="C17" s="22" t="s">
        <v>80</v>
      </c>
      <c r="D17" s="22" t="s">
        <v>75</v>
      </c>
      <c r="E17" s="22" t="s">
        <v>80</v>
      </c>
      <c r="F17" s="22" t="s">
        <v>90</v>
      </c>
      <c r="G17" s="22" t="s">
        <v>126</v>
      </c>
      <c r="H17" s="22" t="s">
        <v>63</v>
      </c>
      <c r="I17" s="72" t="s">
        <v>77</v>
      </c>
      <c r="J17" s="13"/>
    </row>
    <row r="18" spans="2:11" s="12" customFormat="1" ht="77.25" customHeight="1" x14ac:dyDescent="0.4">
      <c r="B18" s="4" t="s">
        <v>19</v>
      </c>
      <c r="C18" s="22" t="s">
        <v>80</v>
      </c>
      <c r="D18" s="22" t="s">
        <v>72</v>
      </c>
      <c r="E18" s="22" t="s">
        <v>80</v>
      </c>
      <c r="F18" s="22" t="s">
        <v>73</v>
      </c>
      <c r="G18" s="22" t="s">
        <v>126</v>
      </c>
      <c r="H18" s="22" t="s">
        <v>57</v>
      </c>
      <c r="I18" s="72" t="s">
        <v>81</v>
      </c>
      <c r="J18" s="13"/>
    </row>
    <row r="19" spans="2:11" s="12" customFormat="1" ht="77.25" customHeight="1" x14ac:dyDescent="0.4">
      <c r="B19" s="4" t="s">
        <v>20</v>
      </c>
      <c r="C19" s="22" t="s">
        <v>80</v>
      </c>
      <c r="D19" s="16"/>
      <c r="E19" s="16"/>
      <c r="F19" s="22" t="s">
        <v>78</v>
      </c>
      <c r="G19" s="22" t="s">
        <v>64</v>
      </c>
      <c r="H19" s="22" t="s">
        <v>57</v>
      </c>
      <c r="I19" s="72" t="s">
        <v>81</v>
      </c>
      <c r="J19" s="13"/>
    </row>
    <row r="20" spans="2:11" s="12" customFormat="1" ht="77.25" customHeight="1" x14ac:dyDescent="0.4">
      <c r="B20" s="4" t="s">
        <v>21</v>
      </c>
      <c r="C20" s="51" t="s">
        <v>104</v>
      </c>
      <c r="D20" s="16"/>
      <c r="E20" s="22" t="s">
        <v>88</v>
      </c>
      <c r="F20" s="22" t="s">
        <v>78</v>
      </c>
      <c r="G20" s="22" t="s">
        <v>64</v>
      </c>
      <c r="H20" s="22" t="s">
        <v>122</v>
      </c>
      <c r="I20" s="72" t="s">
        <v>128</v>
      </c>
      <c r="J20" s="13"/>
    </row>
    <row r="21" spans="2:11" s="12" customFormat="1" ht="77.25" customHeight="1" x14ac:dyDescent="0.4">
      <c r="B21" s="4" t="s">
        <v>22</v>
      </c>
      <c r="C21" s="22" t="s">
        <v>85</v>
      </c>
      <c r="D21" s="22" t="s">
        <v>91</v>
      </c>
      <c r="E21" s="22" t="s">
        <v>92</v>
      </c>
      <c r="F21" s="22" t="s">
        <v>86</v>
      </c>
      <c r="G21" s="51" t="s">
        <v>123</v>
      </c>
      <c r="H21" s="22" t="s">
        <v>122</v>
      </c>
      <c r="I21" s="72" t="s">
        <v>84</v>
      </c>
      <c r="J21" s="13"/>
    </row>
    <row r="22" spans="2:11" s="12" customFormat="1" ht="77.25" customHeight="1" x14ac:dyDescent="0.4">
      <c r="B22" s="4" t="s">
        <v>23</v>
      </c>
      <c r="C22" s="16"/>
      <c r="D22" s="22" t="s">
        <v>91</v>
      </c>
      <c r="E22" s="22" t="s">
        <v>117</v>
      </c>
      <c r="F22" s="22" t="s">
        <v>86</v>
      </c>
      <c r="G22" s="16"/>
      <c r="H22" s="22" t="s">
        <v>124</v>
      </c>
      <c r="I22" s="72" t="s">
        <v>84</v>
      </c>
    </row>
    <row r="23" spans="2:11" s="12" customFormat="1" ht="77.25" customHeight="1" thickBot="1" x14ac:dyDescent="0.45">
      <c r="B23" s="5" t="s">
        <v>125</v>
      </c>
      <c r="C23" s="66"/>
      <c r="D23" s="67"/>
      <c r="E23" s="67"/>
      <c r="F23" s="67"/>
      <c r="G23" s="67"/>
      <c r="H23" s="70" t="s">
        <v>124</v>
      </c>
      <c r="I23" s="68"/>
      <c r="K23" s="12" t="s">
        <v>76</v>
      </c>
    </row>
    <row r="24" spans="2:11" s="12" customFormat="1" ht="77.25" customHeight="1" x14ac:dyDescent="0.4">
      <c r="B24" s="11"/>
      <c r="C24" s="11"/>
      <c r="I24" s="11"/>
    </row>
    <row r="25" spans="2:11" s="12" customFormat="1" ht="77.25" customHeight="1" x14ac:dyDescent="0.4">
      <c r="B25" s="11"/>
      <c r="C25" s="11"/>
      <c r="I25" s="11"/>
    </row>
    <row r="26" spans="2:11" s="12" customFormat="1" ht="77.25" customHeight="1" x14ac:dyDescent="0.4">
      <c r="B26" s="11"/>
      <c r="C26" s="11"/>
      <c r="I26" s="11"/>
    </row>
    <row r="27" spans="2:11" s="12" customFormat="1" ht="77.25" customHeight="1" x14ac:dyDescent="0.4">
      <c r="B27" s="11"/>
      <c r="C27" s="11"/>
      <c r="I27" s="11"/>
    </row>
    <row r="28" spans="2:11" s="12" customFormat="1" ht="77.25" customHeight="1" x14ac:dyDescent="0.4">
      <c r="B28" s="11"/>
      <c r="C28" s="11"/>
      <c r="I28" s="11"/>
    </row>
    <row r="29" spans="2:11" s="12" customFormat="1" ht="77.25" customHeight="1" x14ac:dyDescent="0.4">
      <c r="B29" s="11"/>
      <c r="C29" s="11"/>
      <c r="I29" s="11"/>
    </row>
    <row r="30" spans="2:11" s="12" customFormat="1" ht="77.25" customHeight="1" x14ac:dyDescent="0.4">
      <c r="B30" s="11"/>
      <c r="C30" s="11"/>
      <c r="I30" s="11"/>
    </row>
    <row r="31" spans="2:11" s="12" customFormat="1" ht="77.25" customHeight="1" x14ac:dyDescent="0.4">
      <c r="B31" s="11"/>
      <c r="C31" s="11"/>
      <c r="I31" s="11"/>
    </row>
  </sheetData>
  <mergeCells count="4">
    <mergeCell ref="B2:H2"/>
    <mergeCell ref="B3:H3"/>
    <mergeCell ref="B5:B6"/>
    <mergeCell ref="B4:H4"/>
  </mergeCells>
  <phoneticPr fontId="6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65D7-FA1A-4D38-89FF-C9CFF4E56DD4}">
  <dimension ref="B1:J30"/>
  <sheetViews>
    <sheetView zoomScale="55" zoomScaleNormal="55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K9" sqref="K9"/>
    </sheetView>
  </sheetViews>
  <sheetFormatPr defaultColWidth="24.28515625" defaultRowHeight="24" x14ac:dyDescent="0.4"/>
  <cols>
    <col min="1" max="1" width="2.42578125" style="1" customWidth="1"/>
    <col min="2" max="2" width="24.28515625" style="3"/>
    <col min="3" max="6" width="24.28515625" style="1"/>
    <col min="7" max="7" width="23.140625" style="1" bestFit="1" customWidth="1"/>
    <col min="8" max="8" width="24.28515625" style="1"/>
    <col min="9" max="9" width="24.28515625" style="3"/>
    <col min="10" max="16384" width="24.28515625" style="1"/>
  </cols>
  <sheetData>
    <row r="1" spans="2:10" ht="24.75" thickBot="1" x14ac:dyDescent="0.45">
      <c r="B1" s="2"/>
      <c r="C1" s="2"/>
      <c r="D1" s="2"/>
      <c r="E1" s="2"/>
      <c r="F1" s="2"/>
      <c r="G1" s="2"/>
      <c r="H1" s="2"/>
      <c r="I1" s="2"/>
    </row>
    <row r="2" spans="2:10" ht="36" x14ac:dyDescent="0.4">
      <c r="B2" s="113" t="s">
        <v>46</v>
      </c>
      <c r="C2" s="114"/>
      <c r="D2" s="114"/>
      <c r="E2" s="114"/>
      <c r="F2" s="114"/>
      <c r="G2" s="114"/>
      <c r="H2" s="114"/>
      <c r="I2" s="6" t="s">
        <v>50</v>
      </c>
    </row>
    <row r="3" spans="2:10" ht="46.5" x14ac:dyDescent="0.4">
      <c r="B3" s="115" t="s">
        <v>47</v>
      </c>
      <c r="C3" s="116"/>
      <c r="D3" s="116"/>
      <c r="E3" s="116"/>
      <c r="F3" s="116"/>
      <c r="G3" s="116"/>
      <c r="H3" s="116"/>
      <c r="I3" s="14" t="s">
        <v>60</v>
      </c>
    </row>
    <row r="4" spans="2:10" ht="28.5" customHeight="1" x14ac:dyDescent="0.4">
      <c r="B4" s="118" t="s">
        <v>27</v>
      </c>
      <c r="C4" s="119"/>
      <c r="D4" s="119"/>
      <c r="E4" s="119"/>
      <c r="F4" s="119"/>
      <c r="G4" s="119"/>
      <c r="H4" s="119"/>
      <c r="I4" s="14" t="s">
        <v>61</v>
      </c>
    </row>
    <row r="5" spans="2:10" s="12" customFormat="1" x14ac:dyDescent="0.4">
      <c r="B5" s="117" t="s">
        <v>0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8" t="s">
        <v>7</v>
      </c>
      <c r="J5" s="11"/>
    </row>
    <row r="6" spans="2:10" s="12" customFormat="1" x14ac:dyDescent="0.4">
      <c r="B6" s="117"/>
      <c r="C6" s="9" t="s">
        <v>29</v>
      </c>
      <c r="D6" s="9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10" t="s">
        <v>35</v>
      </c>
    </row>
    <row r="7" spans="2:10" s="12" customFormat="1" ht="77.25" customHeight="1" x14ac:dyDescent="0.4">
      <c r="B7" s="4" t="s">
        <v>8</v>
      </c>
      <c r="C7" s="16"/>
      <c r="D7" s="16"/>
      <c r="E7" s="16"/>
      <c r="F7" s="16"/>
      <c r="G7" s="16"/>
      <c r="H7" s="22" t="s">
        <v>103</v>
      </c>
      <c r="I7" s="17"/>
      <c r="J7" s="13"/>
    </row>
    <row r="8" spans="2:10" s="12" customFormat="1" ht="77.25" customHeight="1" x14ac:dyDescent="0.4">
      <c r="B8" s="4" t="s">
        <v>9</v>
      </c>
      <c r="C8" s="16"/>
      <c r="D8" s="16"/>
      <c r="E8" s="16"/>
      <c r="F8" s="16"/>
      <c r="G8" s="16"/>
      <c r="H8" s="22" t="s">
        <v>103</v>
      </c>
      <c r="I8" s="72" t="s">
        <v>129</v>
      </c>
      <c r="J8" s="13"/>
    </row>
    <row r="9" spans="2:10" s="12" customFormat="1" ht="77.25" customHeight="1" x14ac:dyDescent="0.4">
      <c r="B9" s="4" t="s">
        <v>10</v>
      </c>
      <c r="C9" s="16"/>
      <c r="D9" s="16"/>
      <c r="E9" s="16"/>
      <c r="F9" s="16"/>
      <c r="G9" s="16"/>
      <c r="H9" s="22" t="s">
        <v>103</v>
      </c>
      <c r="I9" s="72" t="s">
        <v>129</v>
      </c>
      <c r="J9" s="13"/>
    </row>
    <row r="10" spans="2:10" s="12" customFormat="1" ht="77.25" customHeight="1" x14ac:dyDescent="0.4">
      <c r="B10" s="4" t="s">
        <v>11</v>
      </c>
      <c r="C10" s="16"/>
      <c r="D10" s="16"/>
      <c r="E10" s="16"/>
      <c r="F10" s="16"/>
      <c r="G10" s="22" t="s">
        <v>102</v>
      </c>
      <c r="H10" s="22" t="s">
        <v>83</v>
      </c>
      <c r="I10" s="72" t="s">
        <v>135</v>
      </c>
      <c r="J10" s="13"/>
    </row>
    <row r="11" spans="2:10" s="12" customFormat="1" ht="77.25" customHeight="1" x14ac:dyDescent="0.4">
      <c r="B11" s="4" t="s">
        <v>12</v>
      </c>
      <c r="C11" s="16"/>
      <c r="D11" s="16"/>
      <c r="E11" s="16"/>
      <c r="F11" s="16"/>
      <c r="G11" s="22" t="s">
        <v>102</v>
      </c>
      <c r="H11" s="22" t="s">
        <v>80</v>
      </c>
      <c r="I11" s="72" t="s">
        <v>135</v>
      </c>
      <c r="J11" s="13"/>
    </row>
    <row r="12" spans="2:10" s="12" customFormat="1" ht="77.25" customHeight="1" x14ac:dyDescent="0.4">
      <c r="B12" s="4" t="s">
        <v>13</v>
      </c>
      <c r="C12" s="16"/>
      <c r="D12" s="16"/>
      <c r="E12" s="16"/>
      <c r="F12" s="16"/>
      <c r="G12" s="16"/>
      <c r="H12" s="22" t="s">
        <v>80</v>
      </c>
      <c r="I12" s="72" t="s">
        <v>148</v>
      </c>
      <c r="J12" s="13"/>
    </row>
    <row r="13" spans="2:10" s="12" customFormat="1" ht="77.25" customHeight="1" x14ac:dyDescent="0.4">
      <c r="B13" s="4" t="s">
        <v>14</v>
      </c>
      <c r="C13" s="19"/>
      <c r="D13" s="16"/>
      <c r="E13" s="16"/>
      <c r="F13" s="16"/>
      <c r="G13" s="16"/>
      <c r="H13" s="16"/>
      <c r="I13" s="18"/>
      <c r="J13" s="13"/>
    </row>
    <row r="14" spans="2:10" s="12" customFormat="1" ht="77.25" customHeight="1" x14ac:dyDescent="0.4">
      <c r="B14" s="4" t="s">
        <v>15</v>
      </c>
      <c r="C14" s="19"/>
      <c r="D14" s="16"/>
      <c r="E14" s="16"/>
      <c r="F14" s="16"/>
      <c r="G14" s="16"/>
      <c r="H14" s="22" t="s">
        <v>150</v>
      </c>
      <c r="I14" s="18"/>
      <c r="J14" s="13"/>
    </row>
    <row r="15" spans="2:10" s="12" customFormat="1" ht="77.25" customHeight="1" x14ac:dyDescent="0.4">
      <c r="B15" s="4" t="s">
        <v>16</v>
      </c>
      <c r="C15" s="19"/>
      <c r="D15" s="16"/>
      <c r="E15" s="16"/>
      <c r="F15" s="16"/>
      <c r="G15" s="16"/>
      <c r="H15" s="16"/>
      <c r="I15" s="18"/>
      <c r="J15" s="13"/>
    </row>
    <row r="16" spans="2:10" s="12" customFormat="1" ht="77.25" customHeight="1" x14ac:dyDescent="0.4">
      <c r="B16" s="4" t="s">
        <v>17</v>
      </c>
      <c r="C16" s="39"/>
      <c r="D16" s="22" t="s">
        <v>118</v>
      </c>
      <c r="E16" s="16"/>
      <c r="F16" s="16"/>
      <c r="G16" s="16"/>
      <c r="H16" s="16"/>
      <c r="I16" s="72" t="s">
        <v>82</v>
      </c>
      <c r="J16" s="13"/>
    </row>
    <row r="17" spans="2:10" s="12" customFormat="1" ht="77.25" customHeight="1" x14ac:dyDescent="0.4">
      <c r="B17" s="4" t="s">
        <v>18</v>
      </c>
      <c r="C17" s="22" t="s">
        <v>80</v>
      </c>
      <c r="D17" s="22" t="s">
        <v>118</v>
      </c>
      <c r="E17" s="22" t="s">
        <v>80</v>
      </c>
      <c r="F17" s="22" t="s">
        <v>121</v>
      </c>
      <c r="G17" s="22" t="s">
        <v>147</v>
      </c>
      <c r="H17" s="16"/>
      <c r="I17" s="72" t="s">
        <v>82</v>
      </c>
      <c r="J17" s="13"/>
    </row>
    <row r="18" spans="2:10" s="12" customFormat="1" ht="77.25" customHeight="1" x14ac:dyDescent="0.4">
      <c r="B18" s="4" t="s">
        <v>19</v>
      </c>
      <c r="C18" s="22" t="s">
        <v>80</v>
      </c>
      <c r="D18" s="22" t="s">
        <v>120</v>
      </c>
      <c r="E18" s="22" t="s">
        <v>80</v>
      </c>
      <c r="F18" s="22" t="s">
        <v>73</v>
      </c>
      <c r="G18" s="22" t="s">
        <v>112</v>
      </c>
      <c r="H18" s="22" t="s">
        <v>57</v>
      </c>
      <c r="I18" s="108" t="s">
        <v>99</v>
      </c>
      <c r="J18" s="13"/>
    </row>
    <row r="19" spans="2:10" s="12" customFormat="1" ht="77.25" customHeight="1" x14ac:dyDescent="0.4">
      <c r="B19" s="4" t="s">
        <v>20</v>
      </c>
      <c r="C19" s="22" t="s">
        <v>80</v>
      </c>
      <c r="D19" s="89" t="s">
        <v>116</v>
      </c>
      <c r="E19" s="22" t="s">
        <v>78</v>
      </c>
      <c r="F19" s="22" t="s">
        <v>139</v>
      </c>
      <c r="G19" s="22" t="s">
        <v>119</v>
      </c>
      <c r="H19" s="22" t="s">
        <v>57</v>
      </c>
      <c r="I19" s="108" t="s">
        <v>99</v>
      </c>
      <c r="J19" s="13"/>
    </row>
    <row r="20" spans="2:10" s="12" customFormat="1" ht="77.25" customHeight="1" x14ac:dyDescent="0.4">
      <c r="B20" s="4" t="s">
        <v>21</v>
      </c>
      <c r="C20" s="16"/>
      <c r="D20" s="89" t="s">
        <v>101</v>
      </c>
      <c r="E20" s="22" t="s">
        <v>78</v>
      </c>
      <c r="F20" s="22" t="s">
        <v>79</v>
      </c>
      <c r="G20" s="51" t="s">
        <v>123</v>
      </c>
      <c r="H20" s="22" t="s">
        <v>74</v>
      </c>
      <c r="I20" s="108" t="s">
        <v>99</v>
      </c>
      <c r="J20" s="13"/>
    </row>
    <row r="21" spans="2:10" s="12" customFormat="1" ht="77.25" customHeight="1" x14ac:dyDescent="0.4">
      <c r="B21" s="4" t="s">
        <v>22</v>
      </c>
      <c r="C21" s="16"/>
      <c r="D21" s="89" t="s">
        <v>101</v>
      </c>
      <c r="E21" s="22" t="s">
        <v>89</v>
      </c>
      <c r="F21" s="22" t="s">
        <v>79</v>
      </c>
      <c r="G21" s="22" t="s">
        <v>93</v>
      </c>
      <c r="H21" s="22" t="s">
        <v>74</v>
      </c>
      <c r="I21" s="72" t="s">
        <v>114</v>
      </c>
      <c r="J21" s="13"/>
    </row>
    <row r="22" spans="2:10" s="12" customFormat="1" ht="77.25" customHeight="1" x14ac:dyDescent="0.4">
      <c r="B22" s="4" t="s">
        <v>23</v>
      </c>
      <c r="C22" s="16"/>
      <c r="D22" s="16"/>
      <c r="E22" s="22" t="s">
        <v>89</v>
      </c>
      <c r="F22" s="22" t="s">
        <v>92</v>
      </c>
      <c r="G22" s="22" t="s">
        <v>93</v>
      </c>
      <c r="H22" s="22" t="s">
        <v>134</v>
      </c>
      <c r="I22" s="72" t="s">
        <v>114</v>
      </c>
    </row>
    <row r="23" spans="2:10" s="12" customFormat="1" ht="77.25" customHeight="1" thickBot="1" x14ac:dyDescent="0.45">
      <c r="B23" s="5" t="s">
        <v>125</v>
      </c>
      <c r="C23" s="67"/>
      <c r="D23" s="67"/>
      <c r="E23" s="67"/>
      <c r="F23" s="67"/>
      <c r="G23" s="70" t="s">
        <v>149</v>
      </c>
      <c r="H23" s="70" t="s">
        <v>134</v>
      </c>
      <c r="I23" s="68"/>
    </row>
    <row r="24" spans="2:10" s="12" customFormat="1" ht="77.25" customHeight="1" x14ac:dyDescent="0.4">
      <c r="B24" s="11"/>
      <c r="I24" s="11"/>
    </row>
    <row r="25" spans="2:10" s="12" customFormat="1" ht="77.25" customHeight="1" x14ac:dyDescent="0.4">
      <c r="B25" s="11"/>
      <c r="I25" s="11"/>
    </row>
    <row r="26" spans="2:10" s="12" customFormat="1" ht="77.25" customHeight="1" x14ac:dyDescent="0.4">
      <c r="B26" s="11"/>
      <c r="I26" s="11"/>
    </row>
    <row r="27" spans="2:10" s="12" customFormat="1" ht="77.25" customHeight="1" x14ac:dyDescent="0.4">
      <c r="B27" s="11"/>
      <c r="I27" s="11"/>
    </row>
    <row r="28" spans="2:10" s="12" customFormat="1" ht="77.25" customHeight="1" x14ac:dyDescent="0.4">
      <c r="B28" s="11"/>
      <c r="I28" s="11"/>
    </row>
    <row r="29" spans="2:10" s="12" customFormat="1" ht="77.25" customHeight="1" x14ac:dyDescent="0.4">
      <c r="B29" s="11"/>
      <c r="I29" s="11"/>
    </row>
    <row r="30" spans="2:10" s="12" customFormat="1" ht="77.25" customHeight="1" x14ac:dyDescent="0.4">
      <c r="B30" s="11"/>
      <c r="I30" s="11"/>
    </row>
  </sheetData>
  <mergeCells count="4">
    <mergeCell ref="B2:H2"/>
    <mergeCell ref="B3:H3"/>
    <mergeCell ref="B4:H4"/>
    <mergeCell ref="B5:B6"/>
  </mergeCells>
  <phoneticPr fontId="6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B500-E92C-4926-B416-40A6B1D825AB}">
  <dimension ref="B1:M31"/>
  <sheetViews>
    <sheetView zoomScale="53" zoomScaleNormal="53" workbookViewId="0">
      <pane xSplit="2" ySplit="6" topLeftCell="C18" activePane="bottomRight" state="frozen"/>
      <selection pane="topRight" activeCell="C1" sqref="C1"/>
      <selection pane="bottomLeft" activeCell="A7" sqref="A7"/>
      <selection pane="bottomRight" activeCell="I21" sqref="I21"/>
    </sheetView>
  </sheetViews>
  <sheetFormatPr defaultColWidth="24.28515625" defaultRowHeight="24" x14ac:dyDescent="0.4"/>
  <cols>
    <col min="1" max="1" width="2.42578125" style="1" customWidth="1"/>
    <col min="2" max="2" width="24.28515625" style="3" customWidth="1"/>
    <col min="3" max="3" width="24.28515625" style="1"/>
    <col min="4" max="4" width="24.28515625" style="1" customWidth="1"/>
    <col min="5" max="6" width="24.28515625" style="1"/>
    <col min="7" max="7" width="23.140625" style="1" bestFit="1" customWidth="1"/>
    <col min="8" max="8" width="24.28515625" style="1"/>
    <col min="9" max="9" width="24.28515625" style="3"/>
    <col min="10" max="16384" width="24.28515625" style="1"/>
  </cols>
  <sheetData>
    <row r="1" spans="2:13" ht="24.75" thickBot="1" x14ac:dyDescent="0.45">
      <c r="B1" s="2"/>
      <c r="C1" s="2"/>
      <c r="D1" s="2"/>
      <c r="E1" s="2"/>
      <c r="F1" s="2"/>
      <c r="G1" s="2"/>
      <c r="H1" s="2"/>
      <c r="I1" s="2"/>
    </row>
    <row r="2" spans="2:13" ht="36" x14ac:dyDescent="0.4">
      <c r="B2" s="113" t="s">
        <v>46</v>
      </c>
      <c r="C2" s="114"/>
      <c r="D2" s="114"/>
      <c r="E2" s="114"/>
      <c r="F2" s="114"/>
      <c r="G2" s="114"/>
      <c r="H2" s="114"/>
      <c r="I2" s="6" t="s">
        <v>49</v>
      </c>
    </row>
    <row r="3" spans="2:13" ht="46.5" x14ac:dyDescent="0.4">
      <c r="B3" s="115" t="s">
        <v>47</v>
      </c>
      <c r="C3" s="116"/>
      <c r="D3" s="116"/>
      <c r="E3" s="116"/>
      <c r="F3" s="116"/>
      <c r="G3" s="116"/>
      <c r="H3" s="116"/>
      <c r="I3" s="14" t="s">
        <v>59</v>
      </c>
    </row>
    <row r="4" spans="2:13" ht="28.5" customHeight="1" x14ac:dyDescent="0.4">
      <c r="B4" s="118" t="s">
        <v>27</v>
      </c>
      <c r="C4" s="119"/>
      <c r="D4" s="119"/>
      <c r="E4" s="119"/>
      <c r="F4" s="119"/>
      <c r="G4" s="119"/>
      <c r="H4" s="119"/>
      <c r="I4" s="14" t="s">
        <v>61</v>
      </c>
    </row>
    <row r="5" spans="2:13" s="12" customFormat="1" x14ac:dyDescent="0.4">
      <c r="B5" s="117" t="s">
        <v>0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8" t="s">
        <v>7</v>
      </c>
      <c r="J5" s="11"/>
    </row>
    <row r="6" spans="2:13" s="12" customFormat="1" x14ac:dyDescent="0.4">
      <c r="B6" s="117"/>
      <c r="C6" s="9" t="s">
        <v>36</v>
      </c>
      <c r="D6" s="9" t="s">
        <v>37</v>
      </c>
      <c r="E6" s="9" t="s">
        <v>38</v>
      </c>
      <c r="F6" s="9" t="s">
        <v>39</v>
      </c>
      <c r="G6" s="9" t="s">
        <v>40</v>
      </c>
      <c r="H6" s="9" t="s">
        <v>41</v>
      </c>
      <c r="I6" s="10" t="s">
        <v>42</v>
      </c>
    </row>
    <row r="7" spans="2:13" s="12" customFormat="1" ht="77.25" customHeight="1" x14ac:dyDescent="0.4">
      <c r="B7" s="4" t="s">
        <v>8</v>
      </c>
      <c r="C7" s="16"/>
      <c r="D7" s="16"/>
      <c r="E7" s="16"/>
      <c r="F7" s="16"/>
      <c r="G7" s="16"/>
      <c r="H7" s="15" t="s">
        <v>83</v>
      </c>
      <c r="I7" s="79" t="s">
        <v>156</v>
      </c>
      <c r="J7" s="13"/>
    </row>
    <row r="8" spans="2:13" s="12" customFormat="1" ht="77.25" customHeight="1" x14ac:dyDescent="0.4">
      <c r="B8" s="4" t="s">
        <v>9</v>
      </c>
      <c r="C8" s="16"/>
      <c r="D8" s="16"/>
      <c r="E8" s="16"/>
      <c r="F8" s="16"/>
      <c r="G8" s="16"/>
      <c r="H8" s="15" t="s">
        <v>83</v>
      </c>
      <c r="I8" s="79" t="s">
        <v>156</v>
      </c>
      <c r="J8" s="13"/>
    </row>
    <row r="9" spans="2:13" s="12" customFormat="1" ht="77.25" customHeight="1" x14ac:dyDescent="0.4">
      <c r="B9" s="4" t="s">
        <v>10</v>
      </c>
      <c r="C9" s="16"/>
      <c r="D9" s="16"/>
      <c r="E9" s="16"/>
      <c r="F9" s="16"/>
      <c r="G9" s="16"/>
      <c r="H9" s="15" t="s">
        <v>151</v>
      </c>
      <c r="I9" s="79" t="s">
        <v>137</v>
      </c>
      <c r="J9" s="13"/>
    </row>
    <row r="10" spans="2:13" s="12" customFormat="1" ht="77.25" customHeight="1" x14ac:dyDescent="0.4">
      <c r="B10" s="4" t="s">
        <v>11</v>
      </c>
      <c r="C10" s="16"/>
      <c r="D10" s="16"/>
      <c r="E10" s="16"/>
      <c r="F10" s="16"/>
      <c r="G10" s="16"/>
      <c r="H10" s="16"/>
      <c r="I10" s="79" t="s">
        <v>137</v>
      </c>
      <c r="J10" s="13"/>
      <c r="M10" s="12" t="s">
        <v>76</v>
      </c>
    </row>
    <row r="11" spans="2:13" s="12" customFormat="1" ht="77.25" customHeight="1" x14ac:dyDescent="0.4">
      <c r="B11" s="4" t="s">
        <v>12</v>
      </c>
      <c r="C11" s="16"/>
      <c r="D11" s="16"/>
      <c r="E11" s="16"/>
      <c r="F11" s="16"/>
      <c r="G11" s="16"/>
      <c r="H11" s="16"/>
      <c r="I11" s="18"/>
      <c r="J11" s="13"/>
    </row>
    <row r="12" spans="2:13" s="12" customFormat="1" ht="77.25" customHeight="1" x14ac:dyDescent="0.4">
      <c r="B12" s="4" t="s">
        <v>13</v>
      </c>
      <c r="C12" s="16"/>
      <c r="D12" s="16"/>
      <c r="E12" s="16"/>
      <c r="F12" s="16"/>
      <c r="G12" s="16"/>
      <c r="H12" s="16"/>
      <c r="I12" s="18"/>
      <c r="J12" s="13"/>
    </row>
    <row r="13" spans="2:13" s="12" customFormat="1" ht="77.25" customHeight="1" x14ac:dyDescent="0.4">
      <c r="B13" s="4" t="s">
        <v>14</v>
      </c>
      <c r="C13" s="19"/>
      <c r="D13" s="16"/>
      <c r="E13" s="16"/>
      <c r="F13" s="16"/>
      <c r="G13" s="16"/>
      <c r="H13" s="16"/>
      <c r="I13" s="18"/>
      <c r="J13" s="13"/>
    </row>
    <row r="14" spans="2:13" s="12" customFormat="1" ht="77.25" customHeight="1" x14ac:dyDescent="0.4">
      <c r="B14" s="4" t="s">
        <v>15</v>
      </c>
      <c r="C14" s="19"/>
      <c r="D14" s="16"/>
      <c r="E14" s="16"/>
      <c r="F14" s="16"/>
      <c r="G14" s="16"/>
      <c r="H14" s="16"/>
      <c r="I14" s="18"/>
      <c r="J14" s="13"/>
    </row>
    <row r="15" spans="2:13" s="12" customFormat="1" ht="77.25" customHeight="1" x14ac:dyDescent="0.4">
      <c r="B15" s="4" t="s">
        <v>16</v>
      </c>
      <c r="C15" s="19"/>
      <c r="D15" s="16"/>
      <c r="E15" s="16"/>
      <c r="F15" s="16"/>
      <c r="G15" s="16"/>
      <c r="H15" s="16"/>
      <c r="I15" s="18"/>
      <c r="J15" s="13"/>
    </row>
    <row r="16" spans="2:13" s="12" customFormat="1" ht="77.25" customHeight="1" x14ac:dyDescent="0.4">
      <c r="B16" s="4" t="s">
        <v>17</v>
      </c>
      <c r="C16" s="39"/>
      <c r="D16" s="16"/>
      <c r="E16" s="39"/>
      <c r="F16" s="15" t="s">
        <v>87</v>
      </c>
      <c r="G16" s="16"/>
      <c r="H16" s="15" t="s">
        <v>111</v>
      </c>
      <c r="I16" s="79" t="s">
        <v>163</v>
      </c>
      <c r="J16" s="13"/>
    </row>
    <row r="17" spans="2:10" s="12" customFormat="1" ht="77.25" customHeight="1" x14ac:dyDescent="0.4">
      <c r="B17" s="4" t="s">
        <v>18</v>
      </c>
      <c r="C17" s="22" t="s">
        <v>80</v>
      </c>
      <c r="D17" s="22" t="s">
        <v>75</v>
      </c>
      <c r="E17" s="93" t="s">
        <v>80</v>
      </c>
      <c r="F17" s="15" t="s">
        <v>87</v>
      </c>
      <c r="G17" s="15" t="s">
        <v>126</v>
      </c>
      <c r="H17" s="15" t="s">
        <v>111</v>
      </c>
      <c r="I17" s="95" t="s">
        <v>82</v>
      </c>
      <c r="J17" s="13"/>
    </row>
    <row r="18" spans="2:10" s="12" customFormat="1" ht="77.25" customHeight="1" x14ac:dyDescent="0.4">
      <c r="B18" s="4" t="s">
        <v>19</v>
      </c>
      <c r="C18" s="22" t="s">
        <v>80</v>
      </c>
      <c r="D18" s="22" t="s">
        <v>118</v>
      </c>
      <c r="E18" s="93" t="s">
        <v>80</v>
      </c>
      <c r="F18" s="15" t="s">
        <v>73</v>
      </c>
      <c r="G18" s="15" t="s">
        <v>126</v>
      </c>
      <c r="H18" s="93" t="s">
        <v>57</v>
      </c>
      <c r="I18" s="95" t="s">
        <v>82</v>
      </c>
      <c r="J18" s="13"/>
    </row>
    <row r="19" spans="2:10" s="12" customFormat="1" ht="77.25" customHeight="1" x14ac:dyDescent="0.4">
      <c r="B19" s="4" t="s">
        <v>20</v>
      </c>
      <c r="C19" s="22" t="s">
        <v>80</v>
      </c>
      <c r="D19" s="22" t="s">
        <v>118</v>
      </c>
      <c r="E19" s="93" t="s">
        <v>80</v>
      </c>
      <c r="F19" s="15" t="s">
        <v>78</v>
      </c>
      <c r="G19" s="15" t="s">
        <v>64</v>
      </c>
      <c r="H19" s="93" t="s">
        <v>57</v>
      </c>
      <c r="I19" s="17"/>
      <c r="J19" s="13"/>
    </row>
    <row r="20" spans="2:10" s="12" customFormat="1" ht="77.25" customHeight="1" x14ac:dyDescent="0.4">
      <c r="B20" s="4" t="s">
        <v>21</v>
      </c>
      <c r="C20" s="16"/>
      <c r="D20" s="22" t="s">
        <v>136</v>
      </c>
      <c r="E20" s="15" t="s">
        <v>160</v>
      </c>
      <c r="F20" s="15" t="s">
        <v>78</v>
      </c>
      <c r="G20" s="15" t="s">
        <v>64</v>
      </c>
      <c r="H20" s="15" t="s">
        <v>158</v>
      </c>
      <c r="I20" s="79" t="s">
        <v>143</v>
      </c>
      <c r="J20" s="13"/>
    </row>
    <row r="21" spans="2:10" s="12" customFormat="1" ht="77.25" customHeight="1" x14ac:dyDescent="0.4">
      <c r="B21" s="4" t="s">
        <v>22</v>
      </c>
      <c r="C21" s="22" t="s">
        <v>85</v>
      </c>
      <c r="D21" s="51" t="s">
        <v>145</v>
      </c>
      <c r="E21" s="15" t="s">
        <v>161</v>
      </c>
      <c r="F21" s="15" t="s">
        <v>146</v>
      </c>
      <c r="G21" s="90" t="s">
        <v>93</v>
      </c>
      <c r="H21" s="15" t="s">
        <v>158</v>
      </c>
      <c r="I21" s="79" t="s">
        <v>143</v>
      </c>
      <c r="J21" s="13"/>
    </row>
    <row r="22" spans="2:10" s="12" customFormat="1" ht="77.25" customHeight="1" thickBot="1" x14ac:dyDescent="0.45">
      <c r="B22" s="5" t="s">
        <v>23</v>
      </c>
      <c r="C22" s="70" t="s">
        <v>85</v>
      </c>
      <c r="D22" s="112" t="s">
        <v>145</v>
      </c>
      <c r="E22" s="71" t="s">
        <v>161</v>
      </c>
      <c r="F22" s="71" t="s">
        <v>92</v>
      </c>
      <c r="G22" s="111" t="s">
        <v>93</v>
      </c>
      <c r="H22" s="71" t="s">
        <v>134</v>
      </c>
      <c r="I22" s="21"/>
    </row>
    <row r="23" spans="2:10" s="12" customFormat="1" ht="77.25" customHeight="1" x14ac:dyDescent="0.4">
      <c r="B23" s="11"/>
      <c r="I23" s="11"/>
    </row>
    <row r="24" spans="2:10" s="12" customFormat="1" ht="77.25" customHeight="1" x14ac:dyDescent="0.4">
      <c r="B24" s="11"/>
      <c r="I24" s="11"/>
    </row>
    <row r="25" spans="2:10" s="12" customFormat="1" ht="77.25" customHeight="1" x14ac:dyDescent="0.4">
      <c r="B25" s="11"/>
      <c r="I25" s="11"/>
    </row>
    <row r="26" spans="2:10" s="12" customFormat="1" ht="77.25" customHeight="1" x14ac:dyDescent="0.4">
      <c r="B26" s="11"/>
      <c r="I26" s="11"/>
    </row>
    <row r="27" spans="2:10" s="12" customFormat="1" ht="77.25" customHeight="1" x14ac:dyDescent="0.4">
      <c r="B27" s="11"/>
      <c r="I27" s="11"/>
    </row>
    <row r="28" spans="2:10" s="12" customFormat="1" ht="77.25" customHeight="1" x14ac:dyDescent="0.4">
      <c r="B28" s="11"/>
      <c r="I28" s="11"/>
    </row>
    <row r="29" spans="2:10" s="12" customFormat="1" ht="77.25" customHeight="1" x14ac:dyDescent="0.4">
      <c r="B29" s="11"/>
      <c r="I29" s="11"/>
    </row>
    <row r="30" spans="2:10" s="12" customFormat="1" ht="77.25" customHeight="1" x14ac:dyDescent="0.4">
      <c r="B30" s="11"/>
      <c r="I30" s="11"/>
    </row>
    <row r="31" spans="2:10" s="12" customFormat="1" ht="77.25" customHeight="1" x14ac:dyDescent="0.4">
      <c r="B31" s="11"/>
      <c r="I31" s="11"/>
    </row>
  </sheetData>
  <mergeCells count="4">
    <mergeCell ref="B2:H2"/>
    <mergeCell ref="B3:H3"/>
    <mergeCell ref="B4:H4"/>
    <mergeCell ref="B5:B6"/>
  </mergeCells>
  <phoneticPr fontId="6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E4E7-E1C7-446D-9849-5BBF2BFB322F}">
  <dimension ref="B1:M31"/>
  <sheetViews>
    <sheetView zoomScale="55" zoomScaleNormal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7" sqref="M7"/>
    </sheetView>
  </sheetViews>
  <sheetFormatPr defaultColWidth="24.28515625" defaultRowHeight="24" x14ac:dyDescent="0.4"/>
  <cols>
    <col min="1" max="1" width="2.42578125" style="1" customWidth="1"/>
    <col min="2" max="2" width="24.28515625" style="3"/>
    <col min="3" max="6" width="24.28515625" style="1"/>
    <col min="7" max="7" width="23.140625" style="1" bestFit="1" customWidth="1"/>
    <col min="8" max="8" width="24.28515625" style="1"/>
    <col min="9" max="9" width="24.28515625" style="3"/>
    <col min="10" max="16384" width="24.28515625" style="1"/>
  </cols>
  <sheetData>
    <row r="1" spans="2:10" ht="24.75" thickBot="1" x14ac:dyDescent="0.45">
      <c r="B1" s="2"/>
      <c r="C1" s="2"/>
      <c r="D1" s="2"/>
      <c r="E1" s="2"/>
      <c r="F1" s="2"/>
      <c r="G1" s="2"/>
      <c r="H1" s="2"/>
      <c r="I1" s="2"/>
    </row>
    <row r="2" spans="2:10" ht="36" x14ac:dyDescent="0.4">
      <c r="B2" s="113" t="s">
        <v>46</v>
      </c>
      <c r="C2" s="114"/>
      <c r="D2" s="114"/>
      <c r="E2" s="114"/>
      <c r="F2" s="114"/>
      <c r="G2" s="114"/>
      <c r="H2" s="114"/>
      <c r="I2" s="6" t="s">
        <v>65</v>
      </c>
    </row>
    <row r="3" spans="2:10" ht="46.5" x14ac:dyDescent="0.4">
      <c r="B3" s="115" t="s">
        <v>47</v>
      </c>
      <c r="C3" s="116"/>
      <c r="D3" s="116"/>
      <c r="E3" s="116"/>
      <c r="F3" s="116"/>
      <c r="G3" s="116"/>
      <c r="H3" s="116"/>
      <c r="I3" s="14" t="s">
        <v>62</v>
      </c>
    </row>
    <row r="4" spans="2:10" ht="28.5" customHeight="1" x14ac:dyDescent="0.4">
      <c r="B4" s="118" t="s">
        <v>27</v>
      </c>
      <c r="C4" s="119"/>
      <c r="D4" s="119"/>
      <c r="E4" s="119"/>
      <c r="F4" s="119"/>
      <c r="G4" s="119"/>
      <c r="H4" s="119"/>
      <c r="I4" s="14" t="s">
        <v>61</v>
      </c>
    </row>
    <row r="5" spans="2:10" s="12" customFormat="1" x14ac:dyDescent="0.4">
      <c r="B5" s="117" t="s">
        <v>0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8" t="s">
        <v>7</v>
      </c>
      <c r="J5" s="11"/>
    </row>
    <row r="6" spans="2:10" s="12" customFormat="1" x14ac:dyDescent="0.4">
      <c r="B6" s="117"/>
      <c r="C6" s="9" t="s">
        <v>43</v>
      </c>
      <c r="D6" s="9" t="s">
        <v>44</v>
      </c>
      <c r="E6" s="9" t="s">
        <v>45</v>
      </c>
      <c r="F6" s="9" t="s">
        <v>51</v>
      </c>
      <c r="G6" s="9" t="s">
        <v>52</v>
      </c>
      <c r="H6" s="9" t="s">
        <v>53</v>
      </c>
      <c r="I6" s="10" t="s">
        <v>54</v>
      </c>
    </row>
    <row r="7" spans="2:10" s="12" customFormat="1" ht="77.25" customHeight="1" x14ac:dyDescent="0.4">
      <c r="B7" s="4" t="s">
        <v>8</v>
      </c>
      <c r="C7" s="16"/>
      <c r="D7" s="16"/>
      <c r="E7" s="16"/>
      <c r="F7" s="16"/>
      <c r="G7" s="16"/>
      <c r="H7" s="15" t="s">
        <v>83</v>
      </c>
      <c r="I7" s="17"/>
      <c r="J7" s="13"/>
    </row>
    <row r="8" spans="2:10" s="12" customFormat="1" ht="77.25" customHeight="1" x14ac:dyDescent="0.4">
      <c r="B8" s="4" t="s">
        <v>9</v>
      </c>
      <c r="C8" s="16"/>
      <c r="D8" s="16"/>
      <c r="E8" s="16"/>
      <c r="F8" s="16"/>
      <c r="G8" s="16"/>
      <c r="H8" s="15" t="s">
        <v>83</v>
      </c>
      <c r="I8" s="17"/>
      <c r="J8" s="13"/>
    </row>
    <row r="9" spans="2:10" s="12" customFormat="1" ht="77.25" customHeight="1" x14ac:dyDescent="0.4">
      <c r="B9" s="4" t="s">
        <v>10</v>
      </c>
      <c r="C9" s="16"/>
      <c r="D9" s="16"/>
      <c r="E9" s="16"/>
      <c r="F9" s="16"/>
      <c r="G9" s="16"/>
      <c r="H9" s="50" t="s">
        <v>159</v>
      </c>
      <c r="I9" s="69" t="s">
        <v>159</v>
      </c>
      <c r="J9" s="13"/>
    </row>
    <row r="10" spans="2:10" s="12" customFormat="1" ht="77.25" customHeight="1" x14ac:dyDescent="0.4">
      <c r="B10" s="4" t="s">
        <v>11</v>
      </c>
      <c r="C10" s="16"/>
      <c r="D10" s="16"/>
      <c r="E10" s="16"/>
      <c r="F10" s="16"/>
      <c r="G10" s="16"/>
      <c r="H10" s="50" t="s">
        <v>159</v>
      </c>
      <c r="I10" s="69" t="s">
        <v>159</v>
      </c>
      <c r="J10" s="13"/>
    </row>
    <row r="11" spans="2:10" s="12" customFormat="1" ht="77.25" customHeight="1" x14ac:dyDescent="0.4">
      <c r="B11" s="4" t="s">
        <v>12</v>
      </c>
      <c r="C11" s="16"/>
      <c r="D11" s="16"/>
      <c r="E11" s="16"/>
      <c r="F11" s="16"/>
      <c r="G11" s="16"/>
      <c r="H11" s="50" t="s">
        <v>159</v>
      </c>
      <c r="I11" s="69" t="s">
        <v>159</v>
      </c>
      <c r="J11" s="13"/>
    </row>
    <row r="12" spans="2:10" s="12" customFormat="1" ht="77.25" customHeight="1" x14ac:dyDescent="0.4">
      <c r="B12" s="4" t="s">
        <v>13</v>
      </c>
      <c r="C12" s="16"/>
      <c r="D12" s="16"/>
      <c r="E12" s="16"/>
      <c r="F12" s="16"/>
      <c r="G12" s="16"/>
      <c r="H12" s="50" t="s">
        <v>159</v>
      </c>
      <c r="I12" s="18"/>
      <c r="J12" s="13"/>
    </row>
    <row r="13" spans="2:10" s="12" customFormat="1" ht="77.25" customHeight="1" x14ac:dyDescent="0.4">
      <c r="B13" s="4" t="s">
        <v>14</v>
      </c>
      <c r="C13" s="19"/>
      <c r="D13" s="16"/>
      <c r="E13" s="16"/>
      <c r="F13" s="16"/>
      <c r="G13" s="16"/>
      <c r="H13" s="50" t="s">
        <v>159</v>
      </c>
      <c r="I13" s="110"/>
      <c r="J13" s="13"/>
    </row>
    <row r="14" spans="2:10" s="12" customFormat="1" ht="77.25" customHeight="1" x14ac:dyDescent="0.4">
      <c r="B14" s="4" t="s">
        <v>15</v>
      </c>
      <c r="C14" s="19"/>
      <c r="D14" s="16"/>
      <c r="E14" s="16"/>
      <c r="F14" s="16"/>
      <c r="G14" s="16"/>
      <c r="H14" s="16"/>
      <c r="I14" s="18"/>
      <c r="J14" s="13"/>
    </row>
    <row r="15" spans="2:10" s="12" customFormat="1" ht="77.25" customHeight="1" x14ac:dyDescent="0.4">
      <c r="B15" s="4" t="s">
        <v>16</v>
      </c>
      <c r="C15" s="19"/>
      <c r="D15" s="16"/>
      <c r="E15" s="16"/>
      <c r="F15" s="16"/>
      <c r="G15" s="16"/>
      <c r="H15" s="16"/>
      <c r="I15" s="110"/>
      <c r="J15" s="13"/>
    </row>
    <row r="16" spans="2:10" s="12" customFormat="1" ht="77.25" customHeight="1" x14ac:dyDescent="0.4">
      <c r="B16" s="4" t="s">
        <v>17</v>
      </c>
      <c r="C16" s="39"/>
      <c r="D16" s="39"/>
      <c r="E16" s="39"/>
      <c r="F16" s="16"/>
      <c r="G16" s="16"/>
      <c r="H16" s="16"/>
      <c r="I16" s="110"/>
      <c r="J16" s="13"/>
    </row>
    <row r="17" spans="2:13" s="12" customFormat="1" ht="77.25" customHeight="1" x14ac:dyDescent="0.4">
      <c r="B17" s="4" t="s">
        <v>18</v>
      </c>
      <c r="C17" s="93" t="s">
        <v>80</v>
      </c>
      <c r="D17" s="93" t="s">
        <v>118</v>
      </c>
      <c r="E17" s="93" t="s">
        <v>80</v>
      </c>
      <c r="F17" s="16"/>
      <c r="G17" s="15" t="s">
        <v>138</v>
      </c>
      <c r="H17" s="15" t="s">
        <v>144</v>
      </c>
      <c r="I17" s="95" t="s">
        <v>82</v>
      </c>
      <c r="J17" s="13"/>
      <c r="M17" s="12" t="s">
        <v>76</v>
      </c>
    </row>
    <row r="18" spans="2:13" s="12" customFormat="1" ht="77.25" customHeight="1" x14ac:dyDescent="0.4">
      <c r="B18" s="4" t="s">
        <v>19</v>
      </c>
      <c r="C18" s="93" t="s">
        <v>80</v>
      </c>
      <c r="D18" s="93" t="s">
        <v>118</v>
      </c>
      <c r="E18" s="93" t="s">
        <v>80</v>
      </c>
      <c r="F18" s="15" t="s">
        <v>73</v>
      </c>
      <c r="G18" s="15" t="s">
        <v>138</v>
      </c>
      <c r="H18" s="22" t="s">
        <v>57</v>
      </c>
      <c r="I18" s="95" t="s">
        <v>82</v>
      </c>
      <c r="J18" s="13"/>
    </row>
    <row r="19" spans="2:13" s="12" customFormat="1" ht="77.25" customHeight="1" x14ac:dyDescent="0.4">
      <c r="B19" s="4" t="s">
        <v>20</v>
      </c>
      <c r="C19" s="93" t="s">
        <v>80</v>
      </c>
      <c r="D19" s="16"/>
      <c r="E19" s="93" t="s">
        <v>80</v>
      </c>
      <c r="F19" s="16"/>
      <c r="G19" s="15" t="s">
        <v>78</v>
      </c>
      <c r="H19" s="22" t="s">
        <v>57</v>
      </c>
      <c r="I19" s="17"/>
      <c r="J19" s="13"/>
    </row>
    <row r="20" spans="2:13" s="12" customFormat="1" ht="77.25" customHeight="1" x14ac:dyDescent="0.4">
      <c r="B20" s="4" t="s">
        <v>21</v>
      </c>
      <c r="C20" s="16"/>
      <c r="D20" s="38" t="s">
        <v>101</v>
      </c>
      <c r="E20" s="16"/>
      <c r="F20" s="16"/>
      <c r="G20" s="94" t="s">
        <v>123</v>
      </c>
      <c r="H20" s="15" t="s">
        <v>134</v>
      </c>
      <c r="I20" s="17"/>
      <c r="J20" s="13"/>
    </row>
    <row r="21" spans="2:13" s="12" customFormat="1" ht="77.25" customHeight="1" x14ac:dyDescent="0.4">
      <c r="B21" s="4" t="s">
        <v>22</v>
      </c>
      <c r="C21" s="16"/>
      <c r="D21" s="38" t="s">
        <v>101</v>
      </c>
      <c r="E21" s="15" t="s">
        <v>162</v>
      </c>
      <c r="F21" s="16"/>
      <c r="G21" s="94" t="s">
        <v>123</v>
      </c>
      <c r="H21" s="15" t="s">
        <v>134</v>
      </c>
      <c r="I21" s="17"/>
      <c r="J21" s="13"/>
    </row>
    <row r="22" spans="2:13" s="12" customFormat="1" ht="77.25" customHeight="1" thickBot="1" x14ac:dyDescent="0.45">
      <c r="B22" s="5" t="s">
        <v>23</v>
      </c>
      <c r="C22" s="20"/>
      <c r="D22" s="20"/>
      <c r="E22" s="71" t="s">
        <v>162</v>
      </c>
      <c r="F22" s="20"/>
      <c r="G22" s="20"/>
      <c r="H22" s="20"/>
      <c r="I22" s="21"/>
      <c r="L22" s="12" t="s">
        <v>76</v>
      </c>
    </row>
    <row r="23" spans="2:13" s="12" customFormat="1" ht="77.25" customHeight="1" x14ac:dyDescent="0.4">
      <c r="B23" s="11"/>
      <c r="I23" s="11"/>
    </row>
    <row r="24" spans="2:13" s="12" customFormat="1" ht="77.25" customHeight="1" x14ac:dyDescent="0.4">
      <c r="B24" s="11"/>
      <c r="I24" s="11"/>
    </row>
    <row r="25" spans="2:13" s="12" customFormat="1" ht="77.25" customHeight="1" x14ac:dyDescent="0.4">
      <c r="B25" s="11"/>
      <c r="I25" s="11"/>
    </row>
    <row r="26" spans="2:13" s="12" customFormat="1" ht="77.25" customHeight="1" x14ac:dyDescent="0.4">
      <c r="B26" s="11"/>
      <c r="I26" s="11"/>
    </row>
    <row r="27" spans="2:13" s="12" customFormat="1" ht="77.25" customHeight="1" x14ac:dyDescent="0.4">
      <c r="B27" s="11"/>
      <c r="I27" s="11"/>
    </row>
    <row r="28" spans="2:13" s="12" customFormat="1" ht="77.25" customHeight="1" x14ac:dyDescent="0.4">
      <c r="B28" s="11"/>
      <c r="I28" s="11"/>
    </row>
    <row r="29" spans="2:13" s="12" customFormat="1" ht="77.25" customHeight="1" x14ac:dyDescent="0.4">
      <c r="B29" s="11"/>
      <c r="I29" s="11"/>
    </row>
    <row r="30" spans="2:13" s="12" customFormat="1" ht="77.25" customHeight="1" x14ac:dyDescent="0.4">
      <c r="B30" s="11"/>
      <c r="I30" s="11"/>
    </row>
    <row r="31" spans="2:13" s="12" customFormat="1" ht="77.25" customHeight="1" x14ac:dyDescent="0.4">
      <c r="B31" s="11"/>
      <c r="I31" s="11"/>
    </row>
  </sheetData>
  <mergeCells count="4">
    <mergeCell ref="B2:H2"/>
    <mergeCell ref="B3:H3"/>
    <mergeCell ref="B4:H4"/>
    <mergeCell ref="B5:B6"/>
  </mergeCells>
  <phoneticPr fontId="6" type="noConversion"/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6858-656F-4C87-BC05-891B4104E30F}">
  <dimension ref="A1:D21"/>
  <sheetViews>
    <sheetView zoomScaleNormal="100" workbookViewId="0">
      <pane xSplit="1" ySplit="5" topLeftCell="B21" activePane="bottomRight" state="frozen"/>
      <selection pane="topRight" activeCell="B1" sqref="B1"/>
      <selection pane="bottomLeft" activeCell="A6" sqref="A6"/>
      <selection pane="bottomRight" activeCell="C18" sqref="C18"/>
    </sheetView>
  </sheetViews>
  <sheetFormatPr defaultRowHeight="15.75" x14ac:dyDescent="0.25"/>
  <cols>
    <col min="1" max="1" width="13.85546875" style="24" bestFit="1" customWidth="1"/>
    <col min="2" max="4" width="14.28515625" style="24" customWidth="1"/>
    <col min="5" max="16384" width="9.140625" style="24"/>
  </cols>
  <sheetData>
    <row r="1" spans="1:4" x14ac:dyDescent="0.25">
      <c r="A1" s="121" t="s">
        <v>46</v>
      </c>
      <c r="B1" s="122"/>
      <c r="C1" s="122"/>
      <c r="D1" s="23" t="s">
        <v>69</v>
      </c>
    </row>
    <row r="2" spans="1:4" x14ac:dyDescent="0.25">
      <c r="A2" s="123" t="s">
        <v>47</v>
      </c>
      <c r="B2" s="124"/>
      <c r="C2" s="124"/>
      <c r="D2" s="25" t="s">
        <v>70</v>
      </c>
    </row>
    <row r="3" spans="1:4" x14ac:dyDescent="0.25">
      <c r="A3" s="123" t="s">
        <v>27</v>
      </c>
      <c r="B3" s="124"/>
      <c r="C3" s="124"/>
      <c r="D3" s="25" t="s">
        <v>61</v>
      </c>
    </row>
    <row r="4" spans="1:4" x14ac:dyDescent="0.25">
      <c r="A4" s="120" t="s">
        <v>0</v>
      </c>
      <c r="B4" s="26" t="s">
        <v>1</v>
      </c>
      <c r="C4" s="26" t="s">
        <v>2</v>
      </c>
      <c r="D4" s="74" t="s">
        <v>3</v>
      </c>
    </row>
    <row r="5" spans="1:4" x14ac:dyDescent="0.25">
      <c r="A5" s="120"/>
      <c r="B5" s="27" t="s">
        <v>66</v>
      </c>
      <c r="C5" s="27" t="s">
        <v>67</v>
      </c>
      <c r="D5" s="75" t="s">
        <v>68</v>
      </c>
    </row>
    <row r="6" spans="1:4" ht="38.25" customHeight="1" x14ac:dyDescent="0.25">
      <c r="A6" s="28" t="s">
        <v>8</v>
      </c>
      <c r="B6" s="29"/>
      <c r="C6" s="29"/>
      <c r="D6" s="76"/>
    </row>
    <row r="7" spans="1:4" ht="38.25" customHeight="1" x14ac:dyDescent="0.25">
      <c r="A7" s="28" t="s">
        <v>9</v>
      </c>
      <c r="B7" s="29"/>
      <c r="C7" s="29"/>
      <c r="D7" s="76"/>
    </row>
    <row r="8" spans="1:4" ht="38.25" customHeight="1" x14ac:dyDescent="0.25">
      <c r="A8" s="28" t="s">
        <v>10</v>
      </c>
      <c r="B8" s="29"/>
      <c r="C8" s="29"/>
      <c r="D8" s="76"/>
    </row>
    <row r="9" spans="1:4" ht="38.25" customHeight="1" x14ac:dyDescent="0.25">
      <c r="A9" s="28" t="s">
        <v>11</v>
      </c>
      <c r="B9" s="29"/>
      <c r="C9" s="29"/>
      <c r="D9" s="76"/>
    </row>
    <row r="10" spans="1:4" ht="38.25" customHeight="1" x14ac:dyDescent="0.25">
      <c r="A10" s="28" t="s">
        <v>12</v>
      </c>
      <c r="B10" s="29"/>
      <c r="C10" s="29"/>
      <c r="D10" s="76"/>
    </row>
    <row r="11" spans="1:4" ht="38.25" customHeight="1" x14ac:dyDescent="0.25">
      <c r="A11" s="28" t="s">
        <v>13</v>
      </c>
      <c r="B11" s="29"/>
      <c r="C11" s="29"/>
      <c r="D11" s="76"/>
    </row>
    <row r="12" spans="1:4" ht="38.25" customHeight="1" x14ac:dyDescent="0.25">
      <c r="A12" s="28" t="s">
        <v>14</v>
      </c>
      <c r="B12" s="30"/>
      <c r="C12" s="29"/>
      <c r="D12" s="76"/>
    </row>
    <row r="13" spans="1:4" ht="38.25" customHeight="1" x14ac:dyDescent="0.25">
      <c r="A13" s="28" t="s">
        <v>15</v>
      </c>
      <c r="B13" s="30"/>
      <c r="C13" s="29"/>
      <c r="D13" s="76"/>
    </row>
    <row r="14" spans="1:4" ht="38.25" customHeight="1" x14ac:dyDescent="0.25">
      <c r="A14" s="28" t="s">
        <v>16</v>
      </c>
      <c r="B14" s="30"/>
      <c r="C14" s="29"/>
      <c r="D14" s="76"/>
    </row>
    <row r="15" spans="1:4" ht="38.25" customHeight="1" x14ac:dyDescent="0.25">
      <c r="A15" s="28" t="s">
        <v>17</v>
      </c>
      <c r="B15" s="73"/>
      <c r="C15" s="29"/>
      <c r="D15" s="77"/>
    </row>
    <row r="16" spans="1:4" ht="38.25" customHeight="1" x14ac:dyDescent="0.25">
      <c r="A16" s="28" t="s">
        <v>18</v>
      </c>
      <c r="B16" s="91" t="s">
        <v>80</v>
      </c>
      <c r="C16" s="96" t="s">
        <v>118</v>
      </c>
      <c r="D16" s="92" t="s">
        <v>80</v>
      </c>
    </row>
    <row r="17" spans="1:4" ht="38.25" customHeight="1" x14ac:dyDescent="0.25">
      <c r="A17" s="28" t="s">
        <v>19</v>
      </c>
      <c r="B17" s="91" t="s">
        <v>80</v>
      </c>
      <c r="C17" s="96" t="s">
        <v>118</v>
      </c>
      <c r="D17" s="92" t="s">
        <v>80</v>
      </c>
    </row>
    <row r="18" spans="1:4" ht="38.25" customHeight="1" x14ac:dyDescent="0.25">
      <c r="A18" s="28" t="s">
        <v>20</v>
      </c>
      <c r="B18" s="91" t="s">
        <v>80</v>
      </c>
      <c r="C18" s="29"/>
      <c r="D18" s="92" t="s">
        <v>80</v>
      </c>
    </row>
    <row r="19" spans="1:4" ht="38.25" customHeight="1" x14ac:dyDescent="0.25">
      <c r="A19" s="28" t="s">
        <v>21</v>
      </c>
      <c r="B19" s="29"/>
      <c r="C19" s="29"/>
      <c r="D19" s="76"/>
    </row>
    <row r="20" spans="1:4" ht="38.25" customHeight="1" x14ac:dyDescent="0.25">
      <c r="A20" s="28" t="s">
        <v>22</v>
      </c>
      <c r="B20" s="29"/>
      <c r="C20" s="29"/>
      <c r="D20" s="76"/>
    </row>
    <row r="21" spans="1:4" ht="38.25" customHeight="1" thickBot="1" x14ac:dyDescent="0.3">
      <c r="A21" s="31" t="s">
        <v>23</v>
      </c>
      <c r="B21" s="32"/>
      <c r="C21" s="32"/>
      <c r="D21" s="78"/>
    </row>
  </sheetData>
  <mergeCells count="4">
    <mergeCell ref="A4:A5"/>
    <mergeCell ref="A1:C1"/>
    <mergeCell ref="A2:C2"/>
    <mergeCell ref="A3:C3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F53D-5E0C-40C6-81A8-0E89CF8A7778}">
  <dimension ref="A1:L82"/>
  <sheetViews>
    <sheetView tabSelected="1" topLeftCell="A72" zoomScale="145" zoomScaleNormal="145" workbookViewId="0">
      <selection activeCell="J76" sqref="J76"/>
    </sheetView>
  </sheetViews>
  <sheetFormatPr defaultRowHeight="15.75" x14ac:dyDescent="0.25"/>
  <cols>
    <col min="1" max="1" width="9.140625" style="34"/>
    <col min="2" max="2" width="4.7109375" style="37" bestFit="1" customWidth="1"/>
    <col min="3" max="3" width="10" style="34" bestFit="1" customWidth="1"/>
    <col min="4" max="4" width="5.140625" style="37" bestFit="1" customWidth="1"/>
    <col min="5" max="5" width="8" style="34" bestFit="1" customWidth="1"/>
    <col min="6" max="6" width="10" style="34" bestFit="1" customWidth="1"/>
    <col min="7" max="7" width="9.42578125" style="34" bestFit="1" customWidth="1"/>
    <col min="8" max="8" width="17.7109375" style="41" bestFit="1" customWidth="1"/>
    <col min="9" max="9" width="16" style="34" bestFit="1" customWidth="1"/>
    <col min="10" max="11" width="9.140625" style="34"/>
    <col min="12" max="12" width="7.7109375" style="34" bestFit="1" customWidth="1"/>
    <col min="13" max="16384" width="9.140625" style="34"/>
  </cols>
  <sheetData>
    <row r="1" spans="1:9" ht="16.5" thickBot="1" x14ac:dyDescent="0.3"/>
    <row r="2" spans="1:9" ht="16.5" thickBot="1" x14ac:dyDescent="0.3">
      <c r="B2" s="127" t="s">
        <v>109</v>
      </c>
      <c r="C2" s="128"/>
      <c r="D2" s="128"/>
      <c r="E2" s="128"/>
      <c r="F2" s="128"/>
      <c r="G2" s="128"/>
      <c r="H2" s="128"/>
      <c r="I2" s="129"/>
    </row>
    <row r="3" spans="1:9" x14ac:dyDescent="0.25">
      <c r="B3" s="130" t="s">
        <v>94</v>
      </c>
      <c r="C3" s="132" t="s">
        <v>95</v>
      </c>
      <c r="D3" s="134" t="s">
        <v>96</v>
      </c>
      <c r="E3" s="132" t="s">
        <v>0</v>
      </c>
      <c r="F3" s="132"/>
      <c r="G3" s="132" t="s">
        <v>106</v>
      </c>
      <c r="H3" s="136" t="s">
        <v>105</v>
      </c>
      <c r="I3" s="138" t="s">
        <v>108</v>
      </c>
    </row>
    <row r="4" spans="1:9" x14ac:dyDescent="0.25">
      <c r="B4" s="164"/>
      <c r="C4" s="165"/>
      <c r="D4" s="166"/>
      <c r="E4" s="40" t="s">
        <v>97</v>
      </c>
      <c r="F4" s="40" t="s">
        <v>98</v>
      </c>
      <c r="G4" s="165"/>
      <c r="H4" s="169"/>
      <c r="I4" s="170"/>
    </row>
    <row r="5" spans="1:9" x14ac:dyDescent="0.25">
      <c r="B5" s="43" t="s">
        <v>55</v>
      </c>
      <c r="C5" s="156" t="s">
        <v>6</v>
      </c>
      <c r="D5" s="167" t="s">
        <v>53</v>
      </c>
      <c r="E5" s="36">
        <v>8</v>
      </c>
      <c r="F5" s="36">
        <v>10</v>
      </c>
      <c r="G5" s="36">
        <f>+F5-E5</f>
        <v>2</v>
      </c>
      <c r="H5" s="42">
        <v>275000</v>
      </c>
      <c r="I5" s="44">
        <f>+G5*H5</f>
        <v>550000</v>
      </c>
    </row>
    <row r="6" spans="1:9" ht="16.5" thickBot="1" x14ac:dyDescent="0.3">
      <c r="B6" s="47" t="s">
        <v>56</v>
      </c>
      <c r="C6" s="157"/>
      <c r="D6" s="168"/>
      <c r="E6" s="48">
        <v>10</v>
      </c>
      <c r="F6" s="48">
        <v>13</v>
      </c>
      <c r="G6" s="48">
        <f>+F6-E6</f>
        <v>3</v>
      </c>
      <c r="H6" s="49">
        <v>225000</v>
      </c>
      <c r="I6" s="45">
        <f>+H6*G6</f>
        <v>675000</v>
      </c>
    </row>
    <row r="7" spans="1:9" ht="16.5" thickBot="1" x14ac:dyDescent="0.3">
      <c r="B7" s="171" t="s">
        <v>107</v>
      </c>
      <c r="C7" s="172"/>
      <c r="D7" s="172"/>
      <c r="E7" s="172"/>
      <c r="F7" s="172"/>
      <c r="G7" s="172"/>
      <c r="H7" s="173"/>
      <c r="I7" s="46">
        <f>+I5+I6</f>
        <v>1225000</v>
      </c>
    </row>
    <row r="8" spans="1:9" ht="16.5" thickBot="1" x14ac:dyDescent="0.3">
      <c r="B8" s="180"/>
      <c r="C8" s="180"/>
      <c r="D8" s="180"/>
      <c r="E8" s="180"/>
      <c r="F8" s="180"/>
      <c r="G8" s="180"/>
      <c r="H8" s="180"/>
      <c r="I8" s="180"/>
    </row>
    <row r="9" spans="1:9" x14ac:dyDescent="0.25">
      <c r="A9" s="37"/>
      <c r="B9" s="174" t="s">
        <v>110</v>
      </c>
      <c r="C9" s="175"/>
      <c r="D9" s="175"/>
      <c r="E9" s="175"/>
      <c r="F9" s="175"/>
      <c r="G9" s="175"/>
      <c r="H9" s="175"/>
      <c r="I9" s="176"/>
    </row>
    <row r="10" spans="1:9" x14ac:dyDescent="0.25">
      <c r="B10" s="164" t="s">
        <v>94</v>
      </c>
      <c r="C10" s="165" t="s">
        <v>95</v>
      </c>
      <c r="D10" s="166" t="s">
        <v>96</v>
      </c>
      <c r="E10" s="165" t="s">
        <v>0</v>
      </c>
      <c r="F10" s="165"/>
      <c r="G10" s="165" t="s">
        <v>106</v>
      </c>
      <c r="H10" s="169" t="s">
        <v>105</v>
      </c>
      <c r="I10" s="170" t="s">
        <v>108</v>
      </c>
    </row>
    <row r="11" spans="1:9" x14ac:dyDescent="0.25">
      <c r="B11" s="164"/>
      <c r="C11" s="165"/>
      <c r="D11" s="166"/>
      <c r="E11" s="40" t="s">
        <v>97</v>
      </c>
      <c r="F11" s="40" t="s">
        <v>98</v>
      </c>
      <c r="G11" s="165"/>
      <c r="H11" s="169"/>
      <c r="I11" s="170"/>
    </row>
    <row r="12" spans="1:9" s="102" customFormat="1" x14ac:dyDescent="0.25">
      <c r="B12" s="103" t="s">
        <v>55</v>
      </c>
      <c r="C12" s="156" t="s">
        <v>7</v>
      </c>
      <c r="D12" s="104" t="s">
        <v>35</v>
      </c>
      <c r="E12" s="105">
        <v>15</v>
      </c>
      <c r="F12" s="105">
        <v>17</v>
      </c>
      <c r="G12" s="105">
        <f>+F12-E12</f>
        <v>2</v>
      </c>
      <c r="H12" s="106">
        <v>300000</v>
      </c>
      <c r="I12" s="107">
        <f>+G12*H12</f>
        <v>600000</v>
      </c>
    </row>
    <row r="13" spans="1:9" x14ac:dyDescent="0.25">
      <c r="B13" s="43" t="s">
        <v>56</v>
      </c>
      <c r="C13" s="156"/>
      <c r="D13" s="35" t="s">
        <v>42</v>
      </c>
      <c r="E13" s="36">
        <v>15</v>
      </c>
      <c r="F13" s="36">
        <v>17</v>
      </c>
      <c r="G13" s="36">
        <f t="shared" ref="G13:G14" si="0">+F13-E13</f>
        <v>2</v>
      </c>
      <c r="H13" s="42">
        <v>300000</v>
      </c>
      <c r="I13" s="44">
        <f>+G13*H13</f>
        <v>600000</v>
      </c>
    </row>
    <row r="14" spans="1:9" ht="16.5" thickBot="1" x14ac:dyDescent="0.3">
      <c r="B14" s="53" t="s">
        <v>24</v>
      </c>
      <c r="C14" s="177"/>
      <c r="D14" s="54" t="s">
        <v>54</v>
      </c>
      <c r="E14" s="52">
        <v>15</v>
      </c>
      <c r="F14" s="52">
        <v>17</v>
      </c>
      <c r="G14" s="52">
        <f t="shared" si="0"/>
        <v>2</v>
      </c>
      <c r="H14" s="55">
        <v>300000</v>
      </c>
      <c r="I14" s="56">
        <f>+H14*G14</f>
        <v>600000</v>
      </c>
    </row>
    <row r="15" spans="1:9" ht="16.5" thickBot="1" x14ac:dyDescent="0.3">
      <c r="B15" s="181" t="s">
        <v>107</v>
      </c>
      <c r="C15" s="182"/>
      <c r="D15" s="182"/>
      <c r="E15" s="182"/>
      <c r="F15" s="182"/>
      <c r="G15" s="182"/>
      <c r="H15" s="182"/>
      <c r="I15" s="57">
        <f>SUM(I12:I14)</f>
        <v>1800000</v>
      </c>
    </row>
    <row r="16" spans="1:9" ht="16.5" thickBot="1" x14ac:dyDescent="0.3">
      <c r="B16" s="179"/>
      <c r="C16" s="179"/>
      <c r="D16" s="179"/>
      <c r="E16" s="179"/>
      <c r="F16" s="179"/>
      <c r="G16" s="179"/>
      <c r="H16" s="179"/>
      <c r="I16" s="179"/>
    </row>
    <row r="17" spans="2:9" ht="16.5" thickBot="1" x14ac:dyDescent="0.3">
      <c r="B17" s="127" t="s">
        <v>115</v>
      </c>
      <c r="C17" s="128"/>
      <c r="D17" s="128"/>
      <c r="E17" s="128"/>
      <c r="F17" s="128"/>
      <c r="G17" s="128"/>
      <c r="H17" s="128"/>
      <c r="I17" s="129"/>
    </row>
    <row r="18" spans="2:9" x14ac:dyDescent="0.25">
      <c r="B18" s="130" t="s">
        <v>94</v>
      </c>
      <c r="C18" s="132" t="s">
        <v>95</v>
      </c>
      <c r="D18" s="134" t="s">
        <v>96</v>
      </c>
      <c r="E18" s="132" t="s">
        <v>0</v>
      </c>
      <c r="F18" s="132"/>
      <c r="G18" s="132" t="s">
        <v>106</v>
      </c>
      <c r="H18" s="136" t="s">
        <v>105</v>
      </c>
      <c r="I18" s="138" t="s">
        <v>108</v>
      </c>
    </row>
    <row r="19" spans="2:9" ht="16.5" thickBot="1" x14ac:dyDescent="0.3">
      <c r="B19" s="131"/>
      <c r="C19" s="133"/>
      <c r="D19" s="135"/>
      <c r="E19" s="63" t="s">
        <v>97</v>
      </c>
      <c r="F19" s="63" t="s">
        <v>98</v>
      </c>
      <c r="G19" s="133"/>
      <c r="H19" s="137"/>
      <c r="I19" s="139"/>
    </row>
    <row r="20" spans="2:9" x14ac:dyDescent="0.25">
      <c r="B20" s="58" t="s">
        <v>55</v>
      </c>
      <c r="C20" s="150" t="s">
        <v>5</v>
      </c>
      <c r="D20" s="59"/>
      <c r="E20" s="60">
        <v>19</v>
      </c>
      <c r="F20" s="60">
        <v>21</v>
      </c>
      <c r="G20" s="60">
        <f>+F20-E20</f>
        <v>2</v>
      </c>
      <c r="H20" s="61">
        <v>350000</v>
      </c>
      <c r="I20" s="62">
        <f>+G20*H20</f>
        <v>700000</v>
      </c>
    </row>
    <row r="21" spans="2:9" x14ac:dyDescent="0.25">
      <c r="B21" s="43" t="s">
        <v>56</v>
      </c>
      <c r="C21" s="150"/>
      <c r="D21" s="35"/>
      <c r="E21" s="36">
        <v>19</v>
      </c>
      <c r="F21" s="36">
        <v>21</v>
      </c>
      <c r="G21" s="36">
        <f t="shared" ref="G21:G23" si="1">+F21-E21</f>
        <v>2</v>
      </c>
      <c r="H21" s="42">
        <v>350000</v>
      </c>
      <c r="I21" s="44">
        <f t="shared" ref="I21:I23" si="2">+G21*H21</f>
        <v>700000</v>
      </c>
    </row>
    <row r="22" spans="2:9" x14ac:dyDescent="0.25">
      <c r="B22" s="43" t="s">
        <v>24</v>
      </c>
      <c r="C22" s="150"/>
      <c r="D22" s="35"/>
      <c r="E22" s="36">
        <v>19</v>
      </c>
      <c r="F22" s="36">
        <v>21</v>
      </c>
      <c r="G22" s="36">
        <f t="shared" si="1"/>
        <v>2</v>
      </c>
      <c r="H22" s="42">
        <v>350000</v>
      </c>
      <c r="I22" s="44">
        <f t="shared" si="2"/>
        <v>700000</v>
      </c>
    </row>
    <row r="23" spans="2:9" ht="16.5" thickBot="1" x14ac:dyDescent="0.3">
      <c r="B23" s="53" t="s">
        <v>25</v>
      </c>
      <c r="C23" s="150"/>
      <c r="D23" s="54"/>
      <c r="E23" s="52">
        <v>19</v>
      </c>
      <c r="F23" s="52">
        <v>21</v>
      </c>
      <c r="G23" s="52">
        <f t="shared" si="1"/>
        <v>2</v>
      </c>
      <c r="H23" s="55">
        <v>350000</v>
      </c>
      <c r="I23" s="56">
        <f t="shared" si="2"/>
        <v>700000</v>
      </c>
    </row>
    <row r="24" spans="2:9" s="65" customFormat="1" ht="16.5" thickBot="1" x14ac:dyDescent="0.3">
      <c r="B24" s="143" t="s">
        <v>107</v>
      </c>
      <c r="C24" s="144"/>
      <c r="D24" s="144"/>
      <c r="E24" s="144"/>
      <c r="F24" s="144"/>
      <c r="G24" s="144"/>
      <c r="H24" s="144"/>
      <c r="I24" s="64">
        <f>SUM(I20:I23)</f>
        <v>2800000</v>
      </c>
    </row>
    <row r="25" spans="2:9" ht="16.5" thickBot="1" x14ac:dyDescent="0.3"/>
    <row r="26" spans="2:9" ht="16.5" thickBot="1" x14ac:dyDescent="0.3">
      <c r="B26" s="127" t="s">
        <v>130</v>
      </c>
      <c r="C26" s="128"/>
      <c r="D26" s="128"/>
      <c r="E26" s="128"/>
      <c r="F26" s="128"/>
      <c r="G26" s="128"/>
      <c r="H26" s="128"/>
      <c r="I26" s="129"/>
    </row>
    <row r="27" spans="2:9" x14ac:dyDescent="0.25">
      <c r="B27" s="130" t="s">
        <v>94</v>
      </c>
      <c r="C27" s="132" t="s">
        <v>95</v>
      </c>
      <c r="D27" s="134" t="s">
        <v>96</v>
      </c>
      <c r="E27" s="132" t="s">
        <v>0</v>
      </c>
      <c r="F27" s="132"/>
      <c r="G27" s="132" t="s">
        <v>106</v>
      </c>
      <c r="H27" s="136" t="s">
        <v>105</v>
      </c>
      <c r="I27" s="138" t="s">
        <v>108</v>
      </c>
    </row>
    <row r="28" spans="2:9" ht="16.5" thickBot="1" x14ac:dyDescent="0.3">
      <c r="B28" s="131"/>
      <c r="C28" s="133"/>
      <c r="D28" s="135"/>
      <c r="E28" s="63" t="s">
        <v>97</v>
      </c>
      <c r="F28" s="63" t="s">
        <v>98</v>
      </c>
      <c r="G28" s="133"/>
      <c r="H28" s="137"/>
      <c r="I28" s="139"/>
    </row>
    <row r="29" spans="2:9" x14ac:dyDescent="0.25">
      <c r="B29" s="58" t="s">
        <v>55</v>
      </c>
      <c r="C29" s="150" t="s">
        <v>6</v>
      </c>
      <c r="D29" s="59" t="s">
        <v>26</v>
      </c>
      <c r="E29" s="60">
        <v>17</v>
      </c>
      <c r="F29" s="60">
        <v>19</v>
      </c>
      <c r="G29" s="60">
        <f>+F29-E29</f>
        <v>2</v>
      </c>
      <c r="H29" s="61">
        <v>275000</v>
      </c>
      <c r="I29" s="62">
        <f>+G29*H29</f>
        <v>550000</v>
      </c>
    </row>
    <row r="30" spans="2:9" x14ac:dyDescent="0.25">
      <c r="B30" s="43" t="s">
        <v>56</v>
      </c>
      <c r="C30" s="150"/>
      <c r="D30" s="35" t="s">
        <v>34</v>
      </c>
      <c r="E30" s="60">
        <v>17</v>
      </c>
      <c r="F30" s="60">
        <v>19</v>
      </c>
      <c r="G30" s="36">
        <f t="shared" ref="G30:G32" si="3">+F30-E30</f>
        <v>2</v>
      </c>
      <c r="H30" s="61">
        <v>275000</v>
      </c>
      <c r="I30" s="44">
        <f t="shared" ref="I30:I32" si="4">+G30*H30</f>
        <v>550000</v>
      </c>
    </row>
    <row r="31" spans="2:9" x14ac:dyDescent="0.25">
      <c r="B31" s="43" t="s">
        <v>24</v>
      </c>
      <c r="C31" s="150"/>
      <c r="D31" s="35" t="s">
        <v>41</v>
      </c>
      <c r="E31" s="60">
        <v>17</v>
      </c>
      <c r="F31" s="60">
        <v>19</v>
      </c>
      <c r="G31" s="36">
        <f t="shared" si="3"/>
        <v>2</v>
      </c>
      <c r="H31" s="61">
        <v>275000</v>
      </c>
      <c r="I31" s="44">
        <f t="shared" si="4"/>
        <v>550000</v>
      </c>
    </row>
    <row r="32" spans="2:9" ht="16.5" thickBot="1" x14ac:dyDescent="0.3">
      <c r="B32" s="53" t="s">
        <v>25</v>
      </c>
      <c r="C32" s="150"/>
      <c r="D32" s="54" t="s">
        <v>53</v>
      </c>
      <c r="E32" s="60">
        <v>17</v>
      </c>
      <c r="F32" s="60">
        <v>19</v>
      </c>
      <c r="G32" s="52">
        <f t="shared" si="3"/>
        <v>2</v>
      </c>
      <c r="H32" s="61">
        <v>275000</v>
      </c>
      <c r="I32" s="56">
        <f t="shared" si="4"/>
        <v>550000</v>
      </c>
    </row>
    <row r="33" spans="2:9" ht="16.5" thickBot="1" x14ac:dyDescent="0.3">
      <c r="B33" s="143" t="s">
        <v>107</v>
      </c>
      <c r="C33" s="144"/>
      <c r="D33" s="144"/>
      <c r="E33" s="144"/>
      <c r="F33" s="144"/>
      <c r="G33" s="144"/>
      <c r="H33" s="144"/>
      <c r="I33" s="64">
        <f>SUM(I29:I32)</f>
        <v>2200000</v>
      </c>
    </row>
    <row r="34" spans="2:9" ht="16.5" thickBot="1" x14ac:dyDescent="0.3">
      <c r="B34" s="143" t="s">
        <v>131</v>
      </c>
      <c r="C34" s="144"/>
      <c r="D34" s="144"/>
      <c r="E34" s="144"/>
      <c r="F34" s="144"/>
      <c r="G34" s="144"/>
      <c r="H34" s="144"/>
      <c r="I34" s="64">
        <v>180000</v>
      </c>
    </row>
    <row r="35" spans="2:9" ht="16.5" thickBot="1" x14ac:dyDescent="0.3">
      <c r="B35" s="143" t="s">
        <v>132</v>
      </c>
      <c r="C35" s="144"/>
      <c r="D35" s="144"/>
      <c r="E35" s="144"/>
      <c r="F35" s="144"/>
      <c r="G35" s="144"/>
      <c r="H35" s="144"/>
      <c r="I35" s="64">
        <v>1000000</v>
      </c>
    </row>
    <row r="36" spans="2:9" ht="16.5" thickBot="1" x14ac:dyDescent="0.3">
      <c r="B36" s="143" t="s">
        <v>133</v>
      </c>
      <c r="C36" s="144"/>
      <c r="D36" s="144"/>
      <c r="E36" s="144"/>
      <c r="F36" s="144"/>
      <c r="G36" s="144"/>
      <c r="H36" s="144"/>
      <c r="I36" s="64">
        <f>+I33-I34-I35</f>
        <v>1020000</v>
      </c>
    </row>
    <row r="37" spans="2:9" ht="16.5" thickBot="1" x14ac:dyDescent="0.3"/>
    <row r="38" spans="2:9" ht="16.5" thickBot="1" x14ac:dyDescent="0.3">
      <c r="B38" s="127" t="s">
        <v>140</v>
      </c>
      <c r="C38" s="128"/>
      <c r="D38" s="128"/>
      <c r="E38" s="128"/>
      <c r="F38" s="128"/>
      <c r="G38" s="128"/>
      <c r="H38" s="128"/>
      <c r="I38" s="129"/>
    </row>
    <row r="39" spans="2:9" x14ac:dyDescent="0.25">
      <c r="B39" s="130" t="s">
        <v>94</v>
      </c>
      <c r="C39" s="132" t="s">
        <v>95</v>
      </c>
      <c r="D39" s="134" t="s">
        <v>96</v>
      </c>
      <c r="E39" s="132" t="s">
        <v>0</v>
      </c>
      <c r="F39" s="132"/>
      <c r="G39" s="132" t="s">
        <v>106</v>
      </c>
      <c r="H39" s="136" t="s">
        <v>105</v>
      </c>
      <c r="I39" s="138" t="s">
        <v>108</v>
      </c>
    </row>
    <row r="40" spans="2:9" ht="16.5" thickBot="1" x14ac:dyDescent="0.3">
      <c r="B40" s="131"/>
      <c r="C40" s="133"/>
      <c r="D40" s="135"/>
      <c r="E40" s="63" t="s">
        <v>97</v>
      </c>
      <c r="F40" s="63" t="s">
        <v>98</v>
      </c>
      <c r="G40" s="133"/>
      <c r="H40" s="137"/>
      <c r="I40" s="139"/>
    </row>
    <row r="41" spans="2:9" x14ac:dyDescent="0.25">
      <c r="B41" s="83" t="s">
        <v>55</v>
      </c>
      <c r="C41" s="155" t="s">
        <v>2</v>
      </c>
      <c r="D41" s="85" t="s">
        <v>30</v>
      </c>
      <c r="E41" s="84">
        <v>15</v>
      </c>
      <c r="F41" s="84">
        <v>17</v>
      </c>
      <c r="G41" s="84">
        <f>+F41-E41</f>
        <v>2</v>
      </c>
      <c r="H41" s="86">
        <v>300000</v>
      </c>
      <c r="I41" s="87">
        <f>+G41*H41</f>
        <v>600000</v>
      </c>
    </row>
    <row r="42" spans="2:9" x14ac:dyDescent="0.25">
      <c r="B42" s="43" t="s">
        <v>56</v>
      </c>
      <c r="C42" s="156"/>
      <c r="D42" s="35" t="s">
        <v>37</v>
      </c>
      <c r="E42" s="36">
        <v>17</v>
      </c>
      <c r="F42" s="36">
        <v>19</v>
      </c>
      <c r="G42" s="36">
        <f t="shared" ref="G42:G44" si="5">+F42-E42</f>
        <v>2</v>
      </c>
      <c r="H42" s="42">
        <v>300000</v>
      </c>
      <c r="I42" s="44">
        <f t="shared" ref="I42:I44" si="6">+G42*H42</f>
        <v>600000</v>
      </c>
    </row>
    <row r="43" spans="2:9" x14ac:dyDescent="0.25">
      <c r="B43" s="43" t="s">
        <v>24</v>
      </c>
      <c r="C43" s="156"/>
      <c r="D43" s="35" t="s">
        <v>44</v>
      </c>
      <c r="E43" s="36">
        <v>16</v>
      </c>
      <c r="F43" s="36">
        <v>18</v>
      </c>
      <c r="G43" s="36">
        <f t="shared" si="5"/>
        <v>2</v>
      </c>
      <c r="H43" s="42">
        <v>300000</v>
      </c>
      <c r="I43" s="44">
        <f t="shared" si="6"/>
        <v>600000</v>
      </c>
    </row>
    <row r="44" spans="2:9" ht="16.5" thickBot="1" x14ac:dyDescent="0.3">
      <c r="B44" s="47" t="s">
        <v>25</v>
      </c>
      <c r="C44" s="157"/>
      <c r="D44" s="80" t="s">
        <v>67</v>
      </c>
      <c r="E44" s="48">
        <v>16</v>
      </c>
      <c r="F44" s="48">
        <v>18</v>
      </c>
      <c r="G44" s="48">
        <f t="shared" si="5"/>
        <v>2</v>
      </c>
      <c r="H44" s="49">
        <v>300000</v>
      </c>
      <c r="I44" s="45">
        <f t="shared" si="6"/>
        <v>600000</v>
      </c>
    </row>
    <row r="45" spans="2:9" x14ac:dyDescent="0.25">
      <c r="B45" s="158" t="s">
        <v>107</v>
      </c>
      <c r="C45" s="159"/>
      <c r="D45" s="159"/>
      <c r="E45" s="159"/>
      <c r="F45" s="159"/>
      <c r="G45" s="159"/>
      <c r="H45" s="159"/>
      <c r="I45" s="88">
        <f>SUM(I41:I44)</f>
        <v>2400000</v>
      </c>
    </row>
    <row r="46" spans="2:9" x14ac:dyDescent="0.25">
      <c r="B46" s="160" t="s">
        <v>141</v>
      </c>
      <c r="C46" s="161"/>
      <c r="D46" s="161"/>
      <c r="E46" s="161"/>
      <c r="F46" s="161"/>
      <c r="G46" s="161"/>
      <c r="H46" s="161"/>
      <c r="I46" s="81">
        <f>+I45*10%</f>
        <v>240000</v>
      </c>
    </row>
    <row r="47" spans="2:9" ht="16.5" thickBot="1" x14ac:dyDescent="0.3">
      <c r="B47" s="162" t="s">
        <v>142</v>
      </c>
      <c r="C47" s="163"/>
      <c r="D47" s="163"/>
      <c r="E47" s="163"/>
      <c r="F47" s="163"/>
      <c r="G47" s="163"/>
      <c r="H47" s="163"/>
      <c r="I47" s="82">
        <f>+I45-I46</f>
        <v>2160000</v>
      </c>
    </row>
    <row r="48" spans="2:9" ht="16.5" thickBot="1" x14ac:dyDescent="0.3"/>
    <row r="49" spans="2:12" ht="16.5" thickBot="1" x14ac:dyDescent="0.3">
      <c r="B49" s="127" t="s">
        <v>130</v>
      </c>
      <c r="C49" s="128"/>
      <c r="D49" s="128"/>
      <c r="E49" s="128"/>
      <c r="F49" s="128"/>
      <c r="G49" s="128"/>
      <c r="H49" s="128"/>
      <c r="I49" s="129"/>
    </row>
    <row r="50" spans="2:12" x14ac:dyDescent="0.25">
      <c r="B50" s="130" t="s">
        <v>94</v>
      </c>
      <c r="C50" s="132" t="s">
        <v>95</v>
      </c>
      <c r="D50" s="134" t="s">
        <v>96</v>
      </c>
      <c r="E50" s="132" t="s">
        <v>0</v>
      </c>
      <c r="F50" s="132"/>
      <c r="G50" s="132" t="s">
        <v>106</v>
      </c>
      <c r="H50" s="136" t="s">
        <v>105</v>
      </c>
      <c r="I50" s="138" t="s">
        <v>108</v>
      </c>
    </row>
    <row r="51" spans="2:12" ht="16.5" thickBot="1" x14ac:dyDescent="0.3">
      <c r="B51" s="131"/>
      <c r="C51" s="133"/>
      <c r="D51" s="135"/>
      <c r="E51" s="63" t="s">
        <v>97</v>
      </c>
      <c r="F51" s="63" t="s">
        <v>98</v>
      </c>
      <c r="G51" s="133"/>
      <c r="H51" s="137"/>
      <c r="I51" s="139"/>
    </row>
    <row r="52" spans="2:12" x14ac:dyDescent="0.25">
      <c r="B52" s="145" t="s">
        <v>55</v>
      </c>
      <c r="C52" s="149" t="s">
        <v>6</v>
      </c>
      <c r="D52" s="151" t="s">
        <v>24</v>
      </c>
      <c r="E52" s="60">
        <v>17</v>
      </c>
      <c r="F52" s="60">
        <v>18</v>
      </c>
      <c r="G52" s="60">
        <f t="shared" ref="G52:G61" si="7">+F52-E52</f>
        <v>1</v>
      </c>
      <c r="H52" s="61">
        <v>300000</v>
      </c>
      <c r="I52" s="62">
        <f t="shared" ref="I52:I61" si="8">+G52*H52</f>
        <v>300000</v>
      </c>
    </row>
    <row r="53" spans="2:12" x14ac:dyDescent="0.25">
      <c r="B53" s="146"/>
      <c r="C53" s="150"/>
      <c r="D53" s="152"/>
      <c r="E53" s="60">
        <v>18</v>
      </c>
      <c r="F53" s="60">
        <v>19</v>
      </c>
      <c r="G53" s="60">
        <f t="shared" si="7"/>
        <v>1</v>
      </c>
      <c r="H53" s="61">
        <v>350000</v>
      </c>
      <c r="I53" s="62">
        <f t="shared" si="8"/>
        <v>350000</v>
      </c>
    </row>
    <row r="54" spans="2:12" x14ac:dyDescent="0.25">
      <c r="B54" s="147" t="s">
        <v>56</v>
      </c>
      <c r="C54" s="150"/>
      <c r="D54" s="153" t="s">
        <v>32</v>
      </c>
      <c r="E54" s="60">
        <v>17</v>
      </c>
      <c r="F54" s="60">
        <v>18</v>
      </c>
      <c r="G54" s="60">
        <f t="shared" si="7"/>
        <v>1</v>
      </c>
      <c r="H54" s="61">
        <v>300000</v>
      </c>
      <c r="I54" s="62">
        <f t="shared" si="8"/>
        <v>300000</v>
      </c>
    </row>
    <row r="55" spans="2:12" x14ac:dyDescent="0.25">
      <c r="B55" s="146"/>
      <c r="C55" s="150"/>
      <c r="D55" s="152"/>
      <c r="E55" s="60">
        <v>18</v>
      </c>
      <c r="F55" s="60">
        <v>19</v>
      </c>
      <c r="G55" s="60">
        <f t="shared" si="7"/>
        <v>1</v>
      </c>
      <c r="H55" s="61">
        <v>350000</v>
      </c>
      <c r="I55" s="62">
        <f t="shared" si="8"/>
        <v>350000</v>
      </c>
      <c r="L55" s="60">
        <v>24160</v>
      </c>
    </row>
    <row r="56" spans="2:12" x14ac:dyDescent="0.25">
      <c r="B56" s="147" t="s">
        <v>24</v>
      </c>
      <c r="C56" s="150"/>
      <c r="D56" s="153" t="s">
        <v>39</v>
      </c>
      <c r="E56" s="60">
        <v>17</v>
      </c>
      <c r="F56" s="60">
        <v>18</v>
      </c>
      <c r="G56" s="60">
        <f t="shared" si="7"/>
        <v>1</v>
      </c>
      <c r="H56" s="61">
        <v>300000</v>
      </c>
      <c r="I56" s="62">
        <f t="shared" si="8"/>
        <v>300000</v>
      </c>
      <c r="K56" s="101"/>
      <c r="L56" s="34">
        <v>2000</v>
      </c>
    </row>
    <row r="57" spans="2:12" x14ac:dyDescent="0.25">
      <c r="B57" s="146"/>
      <c r="C57" s="150"/>
      <c r="D57" s="152"/>
      <c r="E57" s="60">
        <v>18</v>
      </c>
      <c r="F57" s="60">
        <v>19</v>
      </c>
      <c r="G57" s="60">
        <f t="shared" si="7"/>
        <v>1</v>
      </c>
      <c r="H57" s="61">
        <v>350000</v>
      </c>
      <c r="I57" s="62">
        <f t="shared" si="8"/>
        <v>350000</v>
      </c>
      <c r="L57" s="101">
        <f>+L56/L55</f>
        <v>8.2781456953642391E-2</v>
      </c>
    </row>
    <row r="58" spans="2:12" x14ac:dyDescent="0.25">
      <c r="B58" s="147" t="s">
        <v>25</v>
      </c>
      <c r="C58" s="150"/>
      <c r="D58" s="153" t="s">
        <v>51</v>
      </c>
      <c r="E58" s="60">
        <v>17</v>
      </c>
      <c r="F58" s="60">
        <v>18</v>
      </c>
      <c r="G58" s="60">
        <f t="shared" si="7"/>
        <v>1</v>
      </c>
      <c r="H58" s="61">
        <v>300000</v>
      </c>
      <c r="I58" s="62">
        <f t="shared" si="8"/>
        <v>300000</v>
      </c>
    </row>
    <row r="59" spans="2:12" x14ac:dyDescent="0.25">
      <c r="B59" s="146"/>
      <c r="C59" s="150"/>
      <c r="D59" s="152"/>
      <c r="E59" s="60">
        <v>18</v>
      </c>
      <c r="F59" s="60">
        <v>19</v>
      </c>
      <c r="G59" s="60">
        <f t="shared" si="7"/>
        <v>1</v>
      </c>
      <c r="H59" s="61">
        <v>350000</v>
      </c>
      <c r="I59" s="62">
        <f t="shared" si="8"/>
        <v>350000</v>
      </c>
    </row>
    <row r="60" spans="2:12" x14ac:dyDescent="0.25">
      <c r="B60" s="147" t="s">
        <v>26</v>
      </c>
      <c r="C60" s="150"/>
      <c r="D60" s="153" t="s">
        <v>152</v>
      </c>
      <c r="E60" s="60">
        <v>17</v>
      </c>
      <c r="F60" s="60">
        <v>18</v>
      </c>
      <c r="G60" s="60">
        <f t="shared" si="7"/>
        <v>1</v>
      </c>
      <c r="H60" s="61">
        <v>300000</v>
      </c>
      <c r="I60" s="62">
        <f t="shared" si="8"/>
        <v>300000</v>
      </c>
    </row>
    <row r="61" spans="2:12" ht="16.5" thickBot="1" x14ac:dyDescent="0.3">
      <c r="B61" s="148"/>
      <c r="C61" s="150"/>
      <c r="D61" s="154"/>
      <c r="E61" s="97">
        <v>18</v>
      </c>
      <c r="F61" s="97">
        <v>19</v>
      </c>
      <c r="G61" s="97">
        <f t="shared" si="7"/>
        <v>1</v>
      </c>
      <c r="H61" s="98">
        <v>350000</v>
      </c>
      <c r="I61" s="99">
        <f t="shared" si="8"/>
        <v>350000</v>
      </c>
    </row>
    <row r="62" spans="2:12" ht="16.5" thickBot="1" x14ac:dyDescent="0.3">
      <c r="B62" s="140" t="s">
        <v>154</v>
      </c>
      <c r="C62" s="141"/>
      <c r="D62" s="141"/>
      <c r="E62" s="141"/>
      <c r="F62" s="142"/>
      <c r="G62" s="100">
        <f>SUM(G52:G61)</f>
        <v>10</v>
      </c>
      <c r="H62" s="109" t="s">
        <v>155</v>
      </c>
      <c r="I62" s="64">
        <f>SUM(I52:I61)</f>
        <v>3250000</v>
      </c>
    </row>
    <row r="63" spans="2:12" ht="16.5" thickBot="1" x14ac:dyDescent="0.3">
      <c r="B63" s="143" t="s">
        <v>153</v>
      </c>
      <c r="C63" s="144"/>
      <c r="D63" s="144"/>
      <c r="E63" s="144"/>
      <c r="F63" s="144"/>
      <c r="G63" s="144"/>
      <c r="H63" s="144"/>
      <c r="I63" s="64">
        <f>+I62*10%</f>
        <v>325000</v>
      </c>
    </row>
    <row r="64" spans="2:12" ht="16.5" thickBot="1" x14ac:dyDescent="0.3">
      <c r="B64" s="143" t="s">
        <v>142</v>
      </c>
      <c r="C64" s="144"/>
      <c r="D64" s="144"/>
      <c r="E64" s="144"/>
      <c r="F64" s="144"/>
      <c r="G64" s="144"/>
      <c r="H64" s="144"/>
      <c r="I64" s="64">
        <f>+I62-I63</f>
        <v>2925000</v>
      </c>
    </row>
    <row r="65" spans="2:9" ht="16.5" thickBot="1" x14ac:dyDescent="0.3"/>
    <row r="66" spans="2:9" ht="16.5" thickBot="1" x14ac:dyDescent="0.3">
      <c r="B66" s="127" t="s">
        <v>157</v>
      </c>
      <c r="C66" s="128"/>
      <c r="D66" s="128"/>
      <c r="E66" s="128"/>
      <c r="F66" s="128"/>
      <c r="G66" s="128"/>
      <c r="H66" s="128"/>
      <c r="I66" s="129"/>
    </row>
    <row r="67" spans="2:9" x14ac:dyDescent="0.25">
      <c r="B67" s="130" t="s">
        <v>94</v>
      </c>
      <c r="C67" s="132" t="s">
        <v>95</v>
      </c>
      <c r="D67" s="134" t="s">
        <v>96</v>
      </c>
      <c r="E67" s="132" t="s">
        <v>0</v>
      </c>
      <c r="F67" s="132"/>
      <c r="G67" s="132" t="s">
        <v>106</v>
      </c>
      <c r="H67" s="136" t="s">
        <v>105</v>
      </c>
      <c r="I67" s="138" t="s">
        <v>108</v>
      </c>
    </row>
    <row r="68" spans="2:9" ht="16.5" thickBot="1" x14ac:dyDescent="0.3">
      <c r="B68" s="131"/>
      <c r="C68" s="133"/>
      <c r="D68" s="135"/>
      <c r="E68" s="63" t="s">
        <v>97</v>
      </c>
      <c r="F68" s="63" t="s">
        <v>98</v>
      </c>
      <c r="G68" s="133"/>
      <c r="H68" s="137"/>
      <c r="I68" s="139"/>
    </row>
    <row r="69" spans="2:9" x14ac:dyDescent="0.25">
      <c r="B69" s="147" t="s">
        <v>55</v>
      </c>
      <c r="C69" s="177" t="s">
        <v>3</v>
      </c>
      <c r="D69" s="153" t="s">
        <v>39</v>
      </c>
      <c r="E69" s="36">
        <v>7</v>
      </c>
      <c r="F69" s="36">
        <v>8</v>
      </c>
      <c r="G69" s="36">
        <f t="shared" ref="G69:G71" si="9">+F69-E69</f>
        <v>1</v>
      </c>
      <c r="H69" s="42">
        <v>250000</v>
      </c>
      <c r="I69" s="44">
        <f t="shared" ref="I69:I71" si="10">+G69*H69</f>
        <v>250000</v>
      </c>
    </row>
    <row r="70" spans="2:9" x14ac:dyDescent="0.25">
      <c r="B70" s="146"/>
      <c r="C70" s="178"/>
      <c r="D70" s="152"/>
      <c r="E70" s="36">
        <v>8</v>
      </c>
      <c r="F70" s="36">
        <v>9</v>
      </c>
      <c r="G70" s="36">
        <f t="shared" si="9"/>
        <v>1</v>
      </c>
      <c r="H70" s="42">
        <v>275000</v>
      </c>
      <c r="I70" s="44">
        <f t="shared" si="10"/>
        <v>275000</v>
      </c>
    </row>
    <row r="71" spans="2:9" ht="16.5" thickBot="1" x14ac:dyDescent="0.3">
      <c r="B71" s="53" t="s">
        <v>56</v>
      </c>
      <c r="C71" s="52" t="s">
        <v>7</v>
      </c>
      <c r="D71" s="54" t="s">
        <v>42</v>
      </c>
      <c r="E71" s="52">
        <v>18</v>
      </c>
      <c r="F71" s="52">
        <v>20</v>
      </c>
      <c r="G71" s="52">
        <f t="shared" si="9"/>
        <v>2</v>
      </c>
      <c r="H71" s="55">
        <v>300000</v>
      </c>
      <c r="I71" s="56">
        <f t="shared" si="10"/>
        <v>600000</v>
      </c>
    </row>
    <row r="72" spans="2:9" s="65" customFormat="1" ht="16.5" thickBot="1" x14ac:dyDescent="0.3">
      <c r="B72" s="125" t="s">
        <v>107</v>
      </c>
      <c r="C72" s="126"/>
      <c r="D72" s="126"/>
      <c r="E72" s="126"/>
      <c r="F72" s="126"/>
      <c r="G72" s="126"/>
      <c r="H72" s="126"/>
      <c r="I72" s="64">
        <f>SUM(I69:I71)</f>
        <v>1125000</v>
      </c>
    </row>
    <row r="73" spans="2:9" ht="16.5" thickBot="1" x14ac:dyDescent="0.3"/>
    <row r="74" spans="2:9" ht="16.5" thickBot="1" x14ac:dyDescent="0.3">
      <c r="B74" s="174" t="s">
        <v>164</v>
      </c>
      <c r="C74" s="175"/>
      <c r="D74" s="175"/>
      <c r="E74" s="175"/>
      <c r="F74" s="175"/>
      <c r="G74" s="176"/>
      <c r="H74" s="186"/>
      <c r="I74" s="185"/>
    </row>
    <row r="75" spans="2:9" x14ac:dyDescent="0.25">
      <c r="B75" s="164" t="s">
        <v>94</v>
      </c>
      <c r="C75" s="165" t="s">
        <v>95</v>
      </c>
      <c r="D75" s="166" t="s">
        <v>96</v>
      </c>
      <c r="E75" s="165" t="s">
        <v>0</v>
      </c>
      <c r="F75" s="165"/>
      <c r="G75" s="195" t="s">
        <v>106</v>
      </c>
      <c r="H75" s="187" t="s">
        <v>105</v>
      </c>
      <c r="I75" s="138" t="s">
        <v>108</v>
      </c>
    </row>
    <row r="76" spans="2:9" ht="16.5" thickBot="1" x14ac:dyDescent="0.3">
      <c r="B76" s="164"/>
      <c r="C76" s="165"/>
      <c r="D76" s="166"/>
      <c r="E76" s="40" t="s">
        <v>97</v>
      </c>
      <c r="F76" s="40" t="s">
        <v>98</v>
      </c>
      <c r="G76" s="195"/>
      <c r="H76" s="188"/>
      <c r="I76" s="139"/>
    </row>
    <row r="77" spans="2:9" x14ac:dyDescent="0.25">
      <c r="B77" s="43" t="s">
        <v>55</v>
      </c>
      <c r="C77" s="156" t="s">
        <v>165</v>
      </c>
      <c r="D77" s="35" t="s">
        <v>56</v>
      </c>
      <c r="E77" s="36">
        <v>19</v>
      </c>
      <c r="F77" s="36">
        <v>21</v>
      </c>
      <c r="G77" s="191">
        <f t="shared" ref="G77:G81" si="11">+F77-E77</f>
        <v>2</v>
      </c>
      <c r="H77" s="189">
        <v>250000</v>
      </c>
      <c r="I77" s="44">
        <f t="shared" ref="I77:I78" si="12">+G77*H77</f>
        <v>500000</v>
      </c>
    </row>
    <row r="78" spans="2:9" x14ac:dyDescent="0.25">
      <c r="B78" s="43" t="s">
        <v>56</v>
      </c>
      <c r="C78" s="156"/>
      <c r="D78" s="35" t="s">
        <v>31</v>
      </c>
      <c r="E78" s="36">
        <v>19</v>
      </c>
      <c r="F78" s="36">
        <v>21</v>
      </c>
      <c r="G78" s="191">
        <f t="shared" si="11"/>
        <v>2</v>
      </c>
      <c r="H78" s="190">
        <v>300000</v>
      </c>
      <c r="I78" s="56">
        <f t="shared" si="12"/>
        <v>600000</v>
      </c>
    </row>
    <row r="79" spans="2:9" x14ac:dyDescent="0.25">
      <c r="B79" s="43" t="s">
        <v>24</v>
      </c>
      <c r="C79" s="156"/>
      <c r="D79" s="35" t="s">
        <v>39</v>
      </c>
      <c r="E79" s="36">
        <v>19</v>
      </c>
      <c r="F79" s="36">
        <v>21</v>
      </c>
      <c r="G79" s="191">
        <f t="shared" si="11"/>
        <v>2</v>
      </c>
      <c r="H79" s="184"/>
      <c r="I79" s="99"/>
    </row>
    <row r="80" spans="2:9" x14ac:dyDescent="0.25">
      <c r="B80" s="43" t="s">
        <v>25</v>
      </c>
      <c r="C80" s="156"/>
      <c r="D80" s="35" t="s">
        <v>45</v>
      </c>
      <c r="E80" s="36">
        <v>19</v>
      </c>
      <c r="F80" s="36">
        <v>21</v>
      </c>
      <c r="G80" s="191">
        <f t="shared" si="11"/>
        <v>2</v>
      </c>
      <c r="H80" s="184"/>
      <c r="I80" s="99"/>
    </row>
    <row r="81" spans="2:9" ht="16.5" thickBot="1" x14ac:dyDescent="0.3">
      <c r="B81" s="47" t="s">
        <v>26</v>
      </c>
      <c r="C81" s="157"/>
      <c r="D81" s="80" t="s">
        <v>68</v>
      </c>
      <c r="E81" s="48">
        <v>19</v>
      </c>
      <c r="F81" s="48">
        <v>21</v>
      </c>
      <c r="G81" s="192">
        <f t="shared" si="11"/>
        <v>2</v>
      </c>
      <c r="H81" s="184"/>
      <c r="I81" s="99"/>
    </row>
    <row r="82" spans="2:9" ht="16.5" thickBot="1" x14ac:dyDescent="0.3">
      <c r="B82" s="193" t="s">
        <v>107</v>
      </c>
      <c r="C82" s="194"/>
      <c r="D82" s="194"/>
      <c r="E82" s="194"/>
      <c r="F82" s="194"/>
      <c r="G82" s="194"/>
      <c r="H82" s="183"/>
      <c r="I82" s="64">
        <f>SUM(I77:I78)</f>
        <v>1100000</v>
      </c>
    </row>
  </sheetData>
  <mergeCells count="102">
    <mergeCell ref="B82:H82"/>
    <mergeCell ref="C77:C81"/>
    <mergeCell ref="B75:B76"/>
    <mergeCell ref="C75:C76"/>
    <mergeCell ref="D75:D76"/>
    <mergeCell ref="E75:F75"/>
    <mergeCell ref="G75:G76"/>
    <mergeCell ref="H75:H76"/>
    <mergeCell ref="I75:I76"/>
    <mergeCell ref="B74:G74"/>
    <mergeCell ref="B16:I16"/>
    <mergeCell ref="B8:I8"/>
    <mergeCell ref="C12:C14"/>
    <mergeCell ref="B15:H15"/>
    <mergeCell ref="B24:H24"/>
    <mergeCell ref="C20:C23"/>
    <mergeCell ref="B17:I17"/>
    <mergeCell ref="B18:B19"/>
    <mergeCell ref="C18:C19"/>
    <mergeCell ref="D18:D19"/>
    <mergeCell ref="E18:F18"/>
    <mergeCell ref="G18:G19"/>
    <mergeCell ref="H18:H19"/>
    <mergeCell ref="B7:H7"/>
    <mergeCell ref="B9:I9"/>
    <mergeCell ref="B10:B11"/>
    <mergeCell ref="C10:C11"/>
    <mergeCell ref="D10:D11"/>
    <mergeCell ref="E10:F10"/>
    <mergeCell ref="G10:G11"/>
    <mergeCell ref="H10:H11"/>
    <mergeCell ref="I10:I11"/>
    <mergeCell ref="G3:G4"/>
    <mergeCell ref="H3:H4"/>
    <mergeCell ref="I3:I4"/>
    <mergeCell ref="B2:I2"/>
    <mergeCell ref="E3:F3"/>
    <mergeCell ref="C5:C6"/>
    <mergeCell ref="B3:B4"/>
    <mergeCell ref="C3:C4"/>
    <mergeCell ref="D3:D4"/>
    <mergeCell ref="D5:D6"/>
    <mergeCell ref="I18:I19"/>
    <mergeCell ref="B26:I26"/>
    <mergeCell ref="B27:B28"/>
    <mergeCell ref="C27:C28"/>
    <mergeCell ref="D27:D28"/>
    <mergeCell ref="E27:F27"/>
    <mergeCell ref="G27:G28"/>
    <mergeCell ref="H27:H28"/>
    <mergeCell ref="I27:I28"/>
    <mergeCell ref="C29:C32"/>
    <mergeCell ref="B33:H33"/>
    <mergeCell ref="B34:H34"/>
    <mergeCell ref="B35:H35"/>
    <mergeCell ref="B36:H36"/>
    <mergeCell ref="C41:C44"/>
    <mergeCell ref="B45:H45"/>
    <mergeCell ref="B46:H46"/>
    <mergeCell ref="B47:H47"/>
    <mergeCell ref="B38:I38"/>
    <mergeCell ref="B39:B40"/>
    <mergeCell ref="C39:C40"/>
    <mergeCell ref="D39:D40"/>
    <mergeCell ref="E39:F39"/>
    <mergeCell ref="G39:G40"/>
    <mergeCell ref="H39:H40"/>
    <mergeCell ref="I39:I40"/>
    <mergeCell ref="B49:I49"/>
    <mergeCell ref="B50:B51"/>
    <mergeCell ref="C50:C51"/>
    <mergeCell ref="D50:D51"/>
    <mergeCell ref="E50:F50"/>
    <mergeCell ref="G50:G51"/>
    <mergeCell ref="H50:H51"/>
    <mergeCell ref="I50:I51"/>
    <mergeCell ref="B62:F62"/>
    <mergeCell ref="B63:H63"/>
    <mergeCell ref="B64:H64"/>
    <mergeCell ref="B52:B53"/>
    <mergeCell ref="B54:B55"/>
    <mergeCell ref="B56:B57"/>
    <mergeCell ref="B58:B59"/>
    <mergeCell ref="B60:B61"/>
    <mergeCell ref="C52:C61"/>
    <mergeCell ref="D52:D53"/>
    <mergeCell ref="D54:D55"/>
    <mergeCell ref="D56:D57"/>
    <mergeCell ref="D58:D59"/>
    <mergeCell ref="D60:D61"/>
    <mergeCell ref="B72:H72"/>
    <mergeCell ref="B66:I66"/>
    <mergeCell ref="B67:B68"/>
    <mergeCell ref="C67:C68"/>
    <mergeCell ref="D67:D68"/>
    <mergeCell ref="E67:F67"/>
    <mergeCell ref="G67:G68"/>
    <mergeCell ref="H67:H68"/>
    <mergeCell ref="I67:I68"/>
    <mergeCell ref="D69:D70"/>
    <mergeCell ref="B69:B70"/>
    <mergeCell ref="C69:C70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01-06 SEP 2026</vt:lpstr>
      <vt:lpstr>07-13 SEP 2026</vt:lpstr>
      <vt:lpstr>14-20 SEP 2026</vt:lpstr>
      <vt:lpstr>21-27 SEP 2026</vt:lpstr>
      <vt:lpstr>28-30 SEP 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Dinda DS</dc:creator>
  <cp:lastModifiedBy>Administrator</cp:lastModifiedBy>
  <dcterms:created xsi:type="dcterms:W3CDTF">2026-06-22T13:36:29Z</dcterms:created>
  <dcterms:modified xsi:type="dcterms:W3CDTF">2026-09-16T05:45:34Z</dcterms:modified>
</cp:coreProperties>
</file>